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ЭтаКнига" defaultThemeVersion="164011"/>
  <bookViews>
    <workbookView xWindow="0" yWindow="0" windowWidth="22260" windowHeight="12645"/>
  </bookViews>
  <sheets>
    <sheet name="Реквизиты для АОСР" sheetId="3" r:id="rId1"/>
    <sheet name="Реестр" sheetId="1" r:id="rId2"/>
    <sheet name="АОСР" sheetId="2" r:id="rId3"/>
    <sheet name="Материалы" sheetId="8" r:id="rId4"/>
    <sheet name="Справочник" sheetId="5" r:id="rId5"/>
    <sheet name="СНиП" sheetId="4" r:id="rId6"/>
  </sheets>
  <functionGroups builtInGroupCount="18"/>
  <definedNames>
    <definedName name="_№ппАОСР">АОСР!$B:$B</definedName>
    <definedName name="_виддокументсправочник">Справочник!$B$2:$B$8</definedName>
    <definedName name="_видработАОСР">АОСР!$C:$C</definedName>
    <definedName name="_всоответствии_реквизиты">'Реквизиты для АОСР'!$B$55</definedName>
    <definedName name="_датаактаАОСР">АОСР!$J:$J</definedName>
    <definedName name="_датаначалаАОСР">АОСР!$H:$H</definedName>
    <definedName name="_датаокончанияАОСР">АОСР!$I:$I</definedName>
    <definedName name="_ед.измерАОСР">АОСР!$G:$G</definedName>
    <definedName name="_заказчик_с1реквизиты">'Реквизиты для АОСР'!$B$10</definedName>
    <definedName name="_заказчик_с2реквизиты">'Реквизиты для АОСР'!$B$11</definedName>
    <definedName name="_заказчик_с3реквизиты">'Реквизиты для АОСР'!$B$12</definedName>
    <definedName name="_заказчик_с4реквизиты">'Реквизиты для АОСР'!$B$13</definedName>
    <definedName name="_заключенияАОСР">АОСР!$Q:$Q</definedName>
    <definedName name="_застройщик_с1реквизиты">'Реквизиты для АОСР'!$B$5</definedName>
    <definedName name="_застройщик_с2реквизиты">'Реквизиты для АОСР'!$B$6</definedName>
    <definedName name="_застройщик_с3реквизиты">'Реквизиты для АОСР'!$B$7</definedName>
    <definedName name="_застройщик_с4реквизиты">'Реквизиты для АОСР'!$B$8</definedName>
    <definedName name="_интервалАОСР">АОСР!$D:$D</definedName>
    <definedName name="_иные_реквизиты">'Реквизиты для АОСР'!$B$49</definedName>
    <definedName name="_количествоАОСР">АОСР!$F:$F</definedName>
    <definedName name="_колодецАОСР">АОСР!$E:$E</definedName>
    <definedName name="_компания_реквизиты">'Реквизиты для АОСР'!$B$51</definedName>
    <definedName name="_материалыАОСР">АОСР!$M:$M</definedName>
    <definedName name="_материалысправочник">Материалы!$R$2:$R$999</definedName>
    <definedName name="_образецАОСР">АОСР!$K:$K</definedName>
    <definedName name="_объект_с1Реквизиты">'Реквизиты для АОСР'!$B$1</definedName>
    <definedName name="_объект_с2Реквизиты">'Реквизиты для АОСР'!$B$2</definedName>
    <definedName name="_объект_с3Реквизиты">'Реквизиты для АОСР'!$B$3</definedName>
    <definedName name="_п_выполн_с1реквизиты">'Реквизиты для АОСР'!$B$44</definedName>
    <definedName name="_п_выполн_с2реквизиты">'Реквизиты для АОСР'!$B$45</definedName>
    <definedName name="_п_выполн_с3реквизиты">'Реквизиты для АОСР'!$B$46</definedName>
    <definedName name="_п_выполн_с4реквизиты">'Реквизиты для АОСР'!$B$47</definedName>
    <definedName name="_п_заказчика_с1реквизиты">'Реквизиты для АОСР'!$B$24</definedName>
    <definedName name="_п_заказчика_с2реквизиты">'Реквизиты для АОСР'!$B$25</definedName>
    <definedName name="_п_заказчика_с3реквизиты">'Реквизиты для АОСР'!$B$26</definedName>
    <definedName name="_п_заказчика_с4реквизиты">'Реквизиты для АОСР'!$B$27</definedName>
    <definedName name="_п_проектировщика_с1реквизиты">'Реквизиты для АОСР'!$B$39</definedName>
    <definedName name="_п_проектировщика_с2реквизиты">'Реквизиты для АОСР'!$B$40</definedName>
    <definedName name="_п_проектировщика_с3реквизиты">'Реквизиты для АОСР'!$B$41</definedName>
    <definedName name="_п_проектировщика_с4реквизиты">'Реквизиты для АОСР'!$B$42</definedName>
    <definedName name="_п_скстроителя_с1реквизиты">'Реквизиты для АОСР'!$B$34</definedName>
    <definedName name="_п_скстроителя_с2реквизиты">'Реквизиты для АОСР'!$B$35</definedName>
    <definedName name="_п_скстроителя_с3реквизиты">'Реквизиты для АОСР'!$B$36</definedName>
    <definedName name="_п_скстроителя_с4реквизиты">'Реквизиты для АОСР'!$B$37</definedName>
    <definedName name="_подписьвыполнившего_реквизиты">'Реквизиты для АОСР'!$B$65</definedName>
    <definedName name="_подписьзаказчика_реквизиты">'Реквизиты для АОСР'!$B$57</definedName>
    <definedName name="_подписьиные_реквизиты">'Реквизиты для АОСР'!$B$67</definedName>
    <definedName name="_подписьпроектировщика_реквизиты">'Реквизиты для АОСР'!$B$63</definedName>
    <definedName name="_подписьскстроителя_реквизиты">'Реквизиты для АОСР'!$B$61</definedName>
    <definedName name="_подписьстроителя_реквизиты">'Реквизиты для АОСР'!$B$59</definedName>
    <definedName name="_последующиеАОСР">АОСР!$L:$L</definedName>
    <definedName name="_проект_реквизиты">'Реквизиты для АОСР'!$B$53</definedName>
    <definedName name="_проектировщик_с1реквизиты">'Реквизиты для АОСР'!$B$20</definedName>
    <definedName name="_проектировщик_с2реквизиты">'Реквизиты для АОСР'!$B$21</definedName>
    <definedName name="_проектировщик_с3реквизиты">'Реквизиты для АОСР'!$B$22</definedName>
    <definedName name="_проектировщик_с4реквизиты">'Реквизиты для АОСР'!#REF!</definedName>
    <definedName name="_протоколы28АОСР">АОСР!$P:$P</definedName>
    <definedName name="_протоколыАОСР">АОСР!$O:$O</definedName>
    <definedName name="_СНИП_справочник">СНиП!$C:$C</definedName>
    <definedName name="_строитель_с1реквизиты">'Реквизиты для АОСР'!$B$15</definedName>
    <definedName name="_строитель_с2реквизиты">'Реквизиты для АОСР'!$B$16</definedName>
    <definedName name="_строитель_с3реквизиты">'Реквизиты для АОСР'!$B$17</definedName>
    <definedName name="_строитель_с4реквизиты">'Реквизиты для АОСР'!$B$18</definedName>
    <definedName name="_сформироватьАОСР">АОСР!$A:$A</definedName>
    <definedName name="_чертежиАОСР">АОСР!$N:$N</definedName>
    <definedName name="имя1">Реестр!$BV:$BV</definedName>
    <definedName name="п_строителя_с1реквизиты">'Реквизиты для АОСР'!$B$29</definedName>
    <definedName name="п_строителя_с2реквизиты">'Реквизиты для АОСР'!$B$30</definedName>
    <definedName name="п_строителя_с3реквизиты">'Реквизиты для АОСР'!$B$31</definedName>
    <definedName name="п_строителя_с4реквизиты">'Реквизиты для АОСР'!$B$32</definedName>
    <definedName name="работа_полная">Реестр!$BA:$BA</definedName>
    <definedName name="РазмерНакрутки">INDIRECT(CONCATENATE("Реестр!$A$3:$BW",ROWS(АОСР[])+3),TRUE)</definedName>
    <definedName name="снипы">СНиП!$C$48:$C$76</definedName>
    <definedName name="СП1">'Реквизиты для АОСР'!$C$55</definedName>
    <definedName name="СП2">'Реквизиты для АОСР'!$D$55</definedName>
    <definedName name="СП3">'Реквизиты для АОСР'!$E$55</definedName>
    <definedName name="СП4">'Реквизиты для АОСР'!$F$55</definedName>
    <definedName name="СП5">'Реквизиты для АОСР'!$G$55</definedName>
    <definedName name="сформировать">Реестр!$A:$A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Автор</author>
  </authors>
  <commentList>
    <comment ref="D3" authorId="0" shape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Прописать как нужно
</t>
        </r>
      </text>
    </comment>
    <comment ref="E3" authorId="0" shape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прописать как нужно</t>
        </r>
      </text>
    </comment>
    <comment ref="M3" authorId="0" shape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ПРИМЕР: Песок (паспорт №1 от 01.01.2000г.); доска (сертификат №2 от 02.02.2000г.)</t>
        </r>
      </text>
    </comment>
  </commentList>
</comments>
</file>

<file path=xl/sharedStrings.xml><?xml version="1.0" encoding="utf-8"?>
<sst xmlns="http://schemas.openxmlformats.org/spreadsheetml/2006/main" count="410" uniqueCount="317">
  <si>
    <t>Вид работ</t>
  </si>
  <si>
    <t>Кол.-во</t>
  </si>
  <si>
    <t>ед. измер.</t>
  </si>
  <si>
    <t>дата начала работ</t>
  </si>
  <si>
    <t>дата окончания</t>
  </si>
  <si>
    <t>дата акта</t>
  </si>
  <si>
    <t>Образец вида работ</t>
  </si>
  <si>
    <t>Последующие работы</t>
  </si>
  <si>
    <t>Исполнительные чертежи</t>
  </si>
  <si>
    <t>№ Протокол испытания 7дней</t>
  </si>
  <si>
    <t>№ Протокол испытания 28дней</t>
  </si>
  <si>
    <t>№ Заключение</t>
  </si>
  <si>
    <t xml:space="preserve">Объект капитального строительства: </t>
  </si>
  <si>
    <t>(наименование объекта капитального строительства в соответствии с проектной документации, почтовый или строительный адрес объекта капитального строительства)</t>
  </si>
  <si>
    <t>Застройщик-заказчик:</t>
  </si>
  <si>
    <t>(фамилия, имя, отчество (последнее при наличии), адрес места жительства, ОГРНИП, ИНН индивидуального предпринимателя, полное и (или) сокращенное наименование, ОГРН, ИНН, адрес юридического лица в пределах его места нахождения, телефон или факс, полное и (или) сокращенное наименование, ОГРН, ИНН саморегулируемой организации, членом которой является указанное юридическое лицо или индивидуальный предприниматель (за исключением случаев, когда членство в саморегулируемых организациях в области строительства, реконструкции, капитального ремонта объектов капитального строительства не требуется); фамилия, имя, отчество (последнее при наличии), паспортные данные, адрес места жительства, телефон или факс – для физических лиц не являющихся индивидуальными предпринимателями)</t>
  </si>
  <si>
    <t>Технический заказчик:</t>
  </si>
  <si>
    <t>Лицо, осуществляющее строительство:</t>
  </si>
  <si>
    <t>(фамилия, имя, отчество (последнее при наличии), адрес места жительства, ОГРНИП, ИНН индивидуального предпринимателя, полное и (или) сокращенное наименование, ОГРН, ИНН, адрес юридического лица в пределах его места нахождения, телефон или факс, полное и (или) сокращенное наименование, ОГРН, ИНН саморегулируемой организации, членом которой является указанное юридическое лицо или индивидуальный предприниматель (за исключением случаев, когда членство в саморегулируемых организациях в области строительства, реконструкции, капитального ремонта объектов капитального строительства не требуется)</t>
  </si>
  <si>
    <t>Лицо, осуществляющее подготовку проектной документации:</t>
  </si>
  <si>
    <t>(фамилия, имя, отчество (последнее при наличии), адрес места жительства, ОГРНИП, ИНН индивидуального предпринимателя, полное и (или) сокращенное наименование, ОГРН, ИНН, адрес юридического лица в пределах его места нахождения, телефон или факс, полное и (или) сокращенное наименование, ОГРН, ИНН саморегулируемой организации, членом которой является указанное юридическое лицо или индивидуальный предприниматель (за исключением случаев, когда членство в саморегулируемых организациях в области архитектурно-строительного проектирования не требуется)</t>
  </si>
  <si>
    <t>Представитель технического заказчика по вопросам строительного контроля:</t>
  </si>
  <si>
    <t>(должность (при наличии), фамилия, инициалы, идентификационный номер в национальном реестре специалистов в области строительства (за исключением случаев, когда членство в саморегулируемых организациях в области строительства, реконструкции, капитального ремонта объектов капитального строительства не требуется), реквизиты распорядительного документа, подтверждающего полномочия, с указанием полного и(или) сокращенного наименования, ОГРН, ИНН, адреса юридического лица в пределах его места нахождения (в случае осуществления строительного контроля на основании договора с застройщиком или техническим заказчиком), фамилии, имени, отчества (последнее – при наличии), адреса мества жительства, ОГРНИП, ИНН индивидуального предпринимателя (в случае осуществления строительного контроля на основании договора с застройщиком или техническим заказчиком)</t>
  </si>
  <si>
    <t xml:space="preserve">Представитель лица, осуществляющего строительство: </t>
  </si>
  <si>
    <t>(должность (при наличии), фамилия, инициалы, реквизиты распорядительного документа, подтверждающего полномочия)</t>
  </si>
  <si>
    <t>Представитель лица, осуществляющего строительство, по вопросам строительного контроля:</t>
  </si>
  <si>
    <t>(должность (при наличии), фамилия, инициалы, идентификационный номер в национальном реестре специалистов в области строительства (за исключением случаев, когда членство в саморегулируемых организациях в области строительства, реконструкции, капитального ремонта объектов капитального строительства не требуется), реквизиты распорядительного документа, подтверждающего полномочия)</t>
  </si>
  <si>
    <t xml:space="preserve">Представитель лица, осуществляющего подготовку проектной документации: </t>
  </si>
  <si>
    <t>(должность (при наличии), фамилия, инициалы, реквизиты распорядительного документа, подтверждающего полномочия, с указанием полного и(или) сокращенного наименования, ОГРН, ИНН, адреса юридического лица в пределах его места нахождения, фамилии, имени, отчества (последнее – при наличии), адреса места жительства, ОГРНИП, ИНН индивидуального предпринимателя)</t>
  </si>
  <si>
    <t>Представитель лица, выполнившего работы, подлежащие освидетельствованию:</t>
  </si>
  <si>
    <t>А также иные представители лиц, участвующих в освидетельствовании:</t>
  </si>
  <si>
    <t>(должность, фамилия, инициалы, реквизиты документа о представительстве)</t>
  </si>
  <si>
    <t>произвели осмотр работ, выполненных</t>
  </si>
  <si>
    <t>(полное и (или) сокращенное наименование или фамилия, имя, отчество (последнее – при наличии) лица, выполнившего работы, подлежащие освидетельствованию)</t>
  </si>
  <si>
    <t xml:space="preserve">2. Работы выполнены по проектной документации: </t>
  </si>
  <si>
    <t>(номер, другие реквизиты чертежа, наименование проектной и (или) рабочей документации, сведения о лицах, осуществляющих подготовку раздела проектной и/или рабочей документации)</t>
  </si>
  <si>
    <t>6. Работы выполнены в соответствии с:</t>
  </si>
  <si>
    <t>шифр проекта</t>
  </si>
  <si>
    <t>СП1</t>
  </si>
  <si>
    <t>СП2</t>
  </si>
  <si>
    <t>СП3</t>
  </si>
  <si>
    <t>СП4</t>
  </si>
  <si>
    <t>СП5</t>
  </si>
  <si>
    <t>(фамилия, инициалы, подпись)</t>
  </si>
  <si>
    <t>Представитель лица, осуществляющего строительство:</t>
  </si>
  <si>
    <t>Представитель лица, осуществляющего подготовку проектной документации:</t>
  </si>
  <si>
    <t>Представители иных лиц:</t>
  </si>
  <si>
    <t>Шифр норматива</t>
  </si>
  <si>
    <t>Описание</t>
  </si>
  <si>
    <t>Полное название</t>
  </si>
  <si>
    <t>СП 14.13330.2014</t>
  </si>
  <si>
    <t>Строительство в сейсмических районах</t>
  </si>
  <si>
    <t>СП 15.13330.2012</t>
  </si>
  <si>
    <t>Каменные и армокаменные конструкции</t>
  </si>
  <si>
    <t>СП 16.13330.2011</t>
  </si>
  <si>
    <t>Стальные конструкции</t>
  </si>
  <si>
    <t>СП 17.13330.2011</t>
  </si>
  <si>
    <t>Кровли</t>
  </si>
  <si>
    <t>СП 18.13330.2010</t>
  </si>
  <si>
    <t>Генеральные планы промышленных предприятий</t>
  </si>
  <si>
    <t>СП 19.13330.2011</t>
  </si>
  <si>
    <t>Генеральные планы сельскохозяйственных предприятий</t>
  </si>
  <si>
    <t>СП 20.13330.2011</t>
  </si>
  <si>
    <t>Нагрузки и воздействия</t>
  </si>
  <si>
    <t>СП 21.13330.2012</t>
  </si>
  <si>
    <t>Здания и сооружения на подрабатываемых территориях и просадочных грунтах</t>
  </si>
  <si>
    <t>СП 22.13330.2011</t>
  </si>
  <si>
    <t>Основания зданий и сооружений</t>
  </si>
  <si>
    <t>СП 23.13330.2011</t>
  </si>
  <si>
    <t>Основания гидротехнических сооружений</t>
  </si>
  <si>
    <t>СП 24.13330.2011</t>
  </si>
  <si>
    <t>Свайные фундаменты</t>
  </si>
  <si>
    <t>СП 25.13330.2012</t>
  </si>
  <si>
    <t>Основания и фундаменты на вечномерзлых грунтах</t>
  </si>
  <si>
    <t>СП 26.13330.2012</t>
  </si>
  <si>
    <t>Фундаменты машин с динамическими нагрузками</t>
  </si>
  <si>
    <t>СП 28.13330.2012</t>
  </si>
  <si>
    <t>Защита строительных конструкций от коррозии</t>
  </si>
  <si>
    <t>СП 29.13330.2011</t>
  </si>
  <si>
    <t>Полы</t>
  </si>
  <si>
    <t>СП 30.13330.2012</t>
  </si>
  <si>
    <t>Внутренний водопровод и канализация зданий</t>
  </si>
  <si>
    <t>СП 31.13330.2012</t>
  </si>
  <si>
    <t>Водоснабжение. Наружные сети и сооружения</t>
  </si>
  <si>
    <t>СП 32.13330.2012</t>
  </si>
  <si>
    <t>Канализация. Наружные сети и сооружения</t>
  </si>
  <si>
    <t>СП 33.13330.2012</t>
  </si>
  <si>
    <t>Расчет на прочность стальных трубопроводов</t>
  </si>
  <si>
    <t>СП 34.13330.2012</t>
  </si>
  <si>
    <t>Автомобильные дороги</t>
  </si>
  <si>
    <t>СП 35.13330.2011</t>
  </si>
  <si>
    <t>Мосты и трубы</t>
  </si>
  <si>
    <t>СП 36.13330.2012</t>
  </si>
  <si>
    <t>Магистральные трубопроводы</t>
  </si>
  <si>
    <t>СП 37.13330.2012</t>
  </si>
  <si>
    <t>Промышленный транспорт</t>
  </si>
  <si>
    <t>СП 38.13330.2012</t>
  </si>
  <si>
    <t>Нагрузки и воздействия на гидротехнические сооружения (волновые, ледовые и от судов)</t>
  </si>
  <si>
    <t>СП 39.13330.2012</t>
  </si>
  <si>
    <t>Плотины из грунтовых материалов</t>
  </si>
  <si>
    <t>СП 40.13330.2012</t>
  </si>
  <si>
    <t>Плотины бетонные и железобетонные</t>
  </si>
  <si>
    <t>СП 41.13330.2012</t>
  </si>
  <si>
    <t>Бетонные и железобетонные конструкции гидротехнических сооружений</t>
  </si>
  <si>
    <t>СП 42.13330.2011</t>
  </si>
  <si>
    <t>Градостроительство. Планировка и застройка городских и сельских поселений</t>
  </si>
  <si>
    <t>СП 43.13330.2012</t>
  </si>
  <si>
    <t>Сооружения промышленных предприятий</t>
  </si>
  <si>
    <t>СП 45.13330.2012</t>
  </si>
  <si>
    <t>Земляные сооружения, основания и фундаменты</t>
  </si>
  <si>
    <t>СП 46.13330.2012</t>
  </si>
  <si>
    <t>СП 47.13330.2012</t>
  </si>
  <si>
    <t>Инженерные изыскания для строительства. Основные положения</t>
  </si>
  <si>
    <t>СП 50.13330.2012</t>
  </si>
  <si>
    <t>Тепловая защита зданий</t>
  </si>
  <si>
    <t>СП 51.13330.2011</t>
  </si>
  <si>
    <t>Защита от шума</t>
  </si>
  <si>
    <t>СП 52.13330.2011</t>
  </si>
  <si>
    <t>Естественное и искусственное освещение</t>
  </si>
  <si>
    <t>СП 54.13330.2011</t>
  </si>
  <si>
    <t>Здания жилые многоквартирные</t>
  </si>
  <si>
    <t>СП 56.13330.2011</t>
  </si>
  <si>
    <t>Производственные здания</t>
  </si>
  <si>
    <t>СП 58.13330.2012</t>
  </si>
  <si>
    <t>Гидротехнические сооружения</t>
  </si>
  <si>
    <t>СП 59.13330.2012</t>
  </si>
  <si>
    <t>Доступность зданий и сооружений для маломобильных групп населения</t>
  </si>
  <si>
    <t>СП 60.13330.2012</t>
  </si>
  <si>
    <t>Отопление, вентиляция и кондиционирование воздуха</t>
  </si>
  <si>
    <t>СП 61.13330.2012</t>
  </si>
  <si>
    <t>Тепловая изоляция оборудования и трубопроводов</t>
  </si>
  <si>
    <t>СП 62.13330.2011</t>
  </si>
  <si>
    <t>Газораспределительные системы</t>
  </si>
  <si>
    <t>СП 63.13330.2012</t>
  </si>
  <si>
    <t>Бетонные и железобетонные конструкции</t>
  </si>
  <si>
    <t>СП 64.13330.2011</t>
  </si>
  <si>
    <t>Деревянные конструкции</t>
  </si>
  <si>
    <t>СП 70.13330.2012</t>
  </si>
  <si>
    <t>Несущие и ограждающие конструкции</t>
  </si>
  <si>
    <t>СП 78.13330.2012</t>
  </si>
  <si>
    <t>СП 79.13330.2012</t>
  </si>
  <si>
    <t>СП 86.13330.2014</t>
  </si>
  <si>
    <t>СП 88.13330.2014</t>
  </si>
  <si>
    <t>Защитные сооружения гражданской обороны</t>
  </si>
  <si>
    <t>СП 89.13330.2012</t>
  </si>
  <si>
    <t>Котельные установки</t>
  </si>
  <si>
    <t>СП 90.13330.2012</t>
  </si>
  <si>
    <t>Электростанции тепловые</t>
  </si>
  <si>
    <t>СП 91.13330.2012</t>
  </si>
  <si>
    <t>Подземные горные выработки</t>
  </si>
  <si>
    <t>СП 92.13330.2012</t>
  </si>
  <si>
    <t>Склады сухих минеральных удобрений и химических средств защиты растений</t>
  </si>
  <si>
    <t>СП 98.13330.2012</t>
  </si>
  <si>
    <t>Трамвайные и троллейбусные линии</t>
  </si>
  <si>
    <t>СП 101.13330.2012</t>
  </si>
  <si>
    <t>Подпорные стены, судоходные шлюзы, рыбопропускные и рыбозащитные сооружения</t>
  </si>
  <si>
    <t>СП 102.13330.2012</t>
  </si>
  <si>
    <t>Туннели гидротехнические</t>
  </si>
  <si>
    <t>СП 103.13330.2012</t>
  </si>
  <si>
    <t>Защита горных выработок от подземных и поверхностных вод</t>
  </si>
  <si>
    <t>СП 105.13330.2012</t>
  </si>
  <si>
    <t>Здания и помещения для хранения и переработки сельскохозяйственной продукции</t>
  </si>
  <si>
    <t>СП 106.13330.2012</t>
  </si>
  <si>
    <t>Животноводческие, птицеводческие и звероводческие здания и помещения</t>
  </si>
  <si>
    <t>СП 107.13330.2012</t>
  </si>
  <si>
    <t>Теплицы и парники</t>
  </si>
  <si>
    <t>СП 108.13330.2012</t>
  </si>
  <si>
    <t>Предприятия, здания и сооружения по хранению и переработке зерна</t>
  </si>
  <si>
    <t>СП 109.13330.2012</t>
  </si>
  <si>
    <t>Холодильники</t>
  </si>
  <si>
    <t>СП 113.13330.2012</t>
  </si>
  <si>
    <t>Стоянки автомобилей</t>
  </si>
  <si>
    <t>СП 116.13330.2012</t>
  </si>
  <si>
    <t>Инженерная защита территорий, зданий и сооружений от опасных геологических процессов. Основные положения</t>
  </si>
  <si>
    <t>СП 118.13330.2012</t>
  </si>
  <si>
    <t>Общественные здания и сооружения</t>
  </si>
  <si>
    <t>СП 119.13330.2012</t>
  </si>
  <si>
    <t>Железные дороги колеи 1520 мм</t>
  </si>
  <si>
    <t>СП 120.13330.2012</t>
  </si>
  <si>
    <t>Метрополитены</t>
  </si>
  <si>
    <t>СП 121.13330.2012</t>
  </si>
  <si>
    <t>Аэродромы</t>
  </si>
  <si>
    <t>СП 122.13330.2012</t>
  </si>
  <si>
    <t>Тоннели железнодорожные и автодорожные</t>
  </si>
  <si>
    <t>СП 123.13330.2012</t>
  </si>
  <si>
    <t>Подземные хранилища газа</t>
  </si>
  <si>
    <t>СП 124.13330.2012</t>
  </si>
  <si>
    <t>Тепловые сети</t>
  </si>
  <si>
    <t>СП 125.13330.2012</t>
  </si>
  <si>
    <t>Нефтепродуктопроводы, прокладываемые на территории городов и других населенных пунктов</t>
  </si>
  <si>
    <t>СП 126.13330.2012</t>
  </si>
  <si>
    <t>Геодезические работы в строительстве</t>
  </si>
  <si>
    <t>СП 128.13330.2012</t>
  </si>
  <si>
    <t>Алюминиевые конструкции</t>
  </si>
  <si>
    <t>СП 131.13330.2012</t>
  </si>
  <si>
    <t>Строительная климатология</t>
  </si>
  <si>
    <t>сформировать</t>
  </si>
  <si>
    <t>м3</t>
  </si>
  <si>
    <t>м2</t>
  </si>
  <si>
    <t>м</t>
  </si>
  <si>
    <t>кг</t>
  </si>
  <si>
    <t>шт</t>
  </si>
  <si>
    <t>компл</t>
  </si>
  <si>
    <t>уп</t>
  </si>
  <si>
    <t>т</t>
  </si>
  <si>
    <t>ед.измер.</t>
  </si>
  <si>
    <t>работа</t>
  </si>
  <si>
    <t>работа_полная</t>
  </si>
  <si>
    <t>интервал</t>
  </si>
  <si>
    <t>колодец</t>
  </si>
  <si>
    <t>количество</t>
  </si>
  <si>
    <t>ед.измер</t>
  </si>
  <si>
    <t>№п/п</t>
  </si>
  <si>
    <t>наименование материала</t>
  </si>
  <si>
    <t>вид документа 1</t>
  </si>
  <si>
    <t>дата документа 1</t>
  </si>
  <si>
    <t>номер документа 1</t>
  </si>
  <si>
    <t>вид документа 2</t>
  </si>
  <si>
    <t>номер документа 2</t>
  </si>
  <si>
    <t>дата документа 2</t>
  </si>
  <si>
    <t>вид документа 3</t>
  </si>
  <si>
    <t>номер документа 3</t>
  </si>
  <si>
    <t>дата документа 3</t>
  </si>
  <si>
    <t>вид документа 4</t>
  </si>
  <si>
    <t>номер документа 4</t>
  </si>
  <si>
    <t>дата документа 4</t>
  </si>
  <si>
    <t>вид документа 5</t>
  </si>
  <si>
    <t>номер документа 5</t>
  </si>
  <si>
    <t>дата документа 5</t>
  </si>
  <si>
    <t>вид документов</t>
  </si>
  <si>
    <t>Паспорт</t>
  </si>
  <si>
    <t>Сертификат качества</t>
  </si>
  <si>
    <t>Сертификат соответствия</t>
  </si>
  <si>
    <t>Декларация о соответствии</t>
  </si>
  <si>
    <t>Документ о качестве</t>
  </si>
  <si>
    <t>Паспорт качества</t>
  </si>
  <si>
    <t>Технический паспорт</t>
  </si>
  <si>
    <t>арматура</t>
  </si>
  <si>
    <t>материал полностью</t>
  </si>
  <si>
    <t>объект_строка1</t>
  </si>
  <si>
    <t>объект_строка2</t>
  </si>
  <si>
    <t>объект_строка3</t>
  </si>
  <si>
    <t>дата_акта</t>
  </si>
  <si>
    <t>проектировщик_строка3</t>
  </si>
  <si>
    <t>проектировщик_строка2</t>
  </si>
  <si>
    <t>проектировщик_строка1</t>
  </si>
  <si>
    <t>строитель_строка4</t>
  </si>
  <si>
    <t>строитель_строка3</t>
  </si>
  <si>
    <t>строитель_строка2</t>
  </si>
  <si>
    <t>заказчик_строка4</t>
  </si>
  <si>
    <t>строитель_строка1</t>
  </si>
  <si>
    <t>заказчик_строка3</t>
  </si>
  <si>
    <t>заказчик_строка2</t>
  </si>
  <si>
    <t>заказчик_строка1</t>
  </si>
  <si>
    <t>застройщик_строка4</t>
  </si>
  <si>
    <t>застройщик_строка3</t>
  </si>
  <si>
    <t>застройщик_строка2</t>
  </si>
  <si>
    <t>застройщик_строка1</t>
  </si>
  <si>
    <t>п_заказчика_строка1</t>
  </si>
  <si>
    <t>п_заказчика_строка2</t>
  </si>
  <si>
    <t>п_заказчика_строка3</t>
  </si>
  <si>
    <t>п_заказчика_строка4</t>
  </si>
  <si>
    <t>п_строителя_строка1</t>
  </si>
  <si>
    <t>п_строителя_строка2</t>
  </si>
  <si>
    <t>п_строителя_строка3</t>
  </si>
  <si>
    <t>п_строителя_строка4</t>
  </si>
  <si>
    <t>п_сконтроль_строка1</t>
  </si>
  <si>
    <t>п_сконтроль_строка2</t>
  </si>
  <si>
    <t>п_сконтроль_строка3</t>
  </si>
  <si>
    <t>п_сконтроль_строка4</t>
  </si>
  <si>
    <t>п_проектировщик_строка1</t>
  </si>
  <si>
    <t>п_проектировщик_строка2</t>
  </si>
  <si>
    <t>п_проектировщик_строка3</t>
  </si>
  <si>
    <t>п_проектировщик_строка4</t>
  </si>
  <si>
    <t>п_выполн_работы_строка1</t>
  </si>
  <si>
    <t>п_выполн_работы_строка2</t>
  </si>
  <si>
    <t>п_выполн_работы_строка3</t>
  </si>
  <si>
    <t>п_выполн_работы_строка4</t>
  </si>
  <si>
    <t>п_иные</t>
  </si>
  <si>
    <t>компания</t>
  </si>
  <si>
    <t>проект</t>
  </si>
  <si>
    <t>материалы</t>
  </si>
  <si>
    <t>дата_начала</t>
  </si>
  <si>
    <t>схемы_протоколы</t>
  </si>
  <si>
    <t>дата_окончания</t>
  </si>
  <si>
    <t>в_соответствии</t>
  </si>
  <si>
    <t>последующие</t>
  </si>
  <si>
    <t>подпись_заказчик</t>
  </si>
  <si>
    <t>подпись_строитель</t>
  </si>
  <si>
    <t>подпись_скстроитель</t>
  </si>
  <si>
    <t>подпись_проектировщик</t>
  </si>
  <si>
    <t>подпись_выполнивший</t>
  </si>
  <si>
    <t>подпись_иные</t>
  </si>
  <si>
    <t>бетон</t>
  </si>
  <si>
    <t>Материалы</t>
  </si>
  <si>
    <t>день</t>
  </si>
  <si>
    <t>месяц</t>
  </si>
  <si>
    <t>год</t>
  </si>
  <si>
    <t>имя_файла</t>
  </si>
  <si>
    <t>Накта</t>
  </si>
  <si>
    <t>месяц_н</t>
  </si>
  <si>
    <t>день_н</t>
  </si>
  <si>
    <t>год_н</t>
  </si>
  <si>
    <t>день_о</t>
  </si>
  <si>
    <t>месяц_о</t>
  </si>
  <si>
    <t>год_о</t>
  </si>
  <si>
    <t>приложения</t>
  </si>
  <si>
    <t>впечать</t>
  </si>
  <si>
    <t>имя1</t>
  </si>
  <si>
    <t>№</t>
  </si>
  <si>
    <t>Начальник участка СУ ООО «КРОСТ-Д» Шевцов А.М., приказ № 1127 от 06.12.2023 г.</t>
  </si>
  <si>
    <t>СНИП</t>
  </si>
  <si>
    <t>СП 124.13330.2012 Тепловые сети</t>
  </si>
  <si>
    <t>в интервале</t>
  </si>
  <si>
    <t>колодцев</t>
  </si>
  <si>
    <t xml:space="preserve">Разработка грунта </t>
  </si>
  <si>
    <t>номер_акта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</si>
</sst>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00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scheme val="minor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b/>
      <sz val="10"/>
      <color theme="1"/>
      <name val="Calibri"/>
      <family val="2"/>
      <charset val="204"/>
      <scheme val="minor"/>
    </font>
    <font>
      <sz val="10"/>
      <name val="Arial Cyr"/>
      <charset val="204"/>
    </font>
    <font>
      <sz val="11"/>
      <color rgb="FF000000"/>
      <name val="Calibri"/>
      <family val="2"/>
      <charset val="204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</fills>
  <borders count="1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</borders>
  <cellStyleXfs count="3">
    <xf numFmtId="0" fontId="0" fillId="0" borderId="0"/>
    <xf numFmtId="0" fontId="1" fillId="0" borderId="0"/>
    <xf numFmtId="0" fontId="7" fillId="0" borderId="0"/>
  </cellStyleXfs>
  <cellXfs count="49">
    <xf numFmtId="0" fontId="0" fillId="0" borderId="0" xfId="0"/>
    <xf numFmtId="0" fontId="1" fillId="0" borderId="3" xfId="1" applyBorder="1" applyAlignment="1" applyProtection="1">
      <alignment horizontal="center" vertical="center"/>
      <protection locked="0"/>
    </xf>
    <xf numFmtId="0" fontId="1" fillId="0" borderId="0" xfId="1"/>
    <xf numFmtId="0" fontId="2" fillId="0" borderId="0" xfId="1" applyFont="1" applyFill="1" applyBorder="1" applyAlignment="1">
      <alignment horizontal="center" vertical="center" wrapText="1"/>
    </xf>
    <xf numFmtId="0" fontId="1" fillId="0" borderId="5" xfId="1" applyBorder="1" applyAlignment="1" applyProtection="1">
      <alignment horizontal="center" vertical="center"/>
      <protection locked="0"/>
    </xf>
    <xf numFmtId="0" fontId="1" fillId="0" borderId="6" xfId="1" applyBorder="1" applyAlignment="1" applyProtection="1">
      <alignment horizontal="center" vertical="center"/>
      <protection locked="0"/>
    </xf>
    <xf numFmtId="0" fontId="1" fillId="0" borderId="3" xfId="1" applyBorder="1" applyProtection="1">
      <protection locked="0"/>
    </xf>
    <xf numFmtId="0" fontId="1" fillId="0" borderId="10" xfId="1" applyBorder="1" applyAlignment="1" applyProtection="1">
      <alignment horizontal="center" vertical="center"/>
      <protection locked="0"/>
    </xf>
    <xf numFmtId="0" fontId="2" fillId="5" borderId="7" xfId="1" applyFont="1" applyFill="1" applyBorder="1" applyAlignment="1">
      <alignment horizontal="center" vertical="center" wrapText="1"/>
    </xf>
    <xf numFmtId="0" fontId="1" fillId="0" borderId="1" xfId="1" applyBorder="1" applyAlignment="1" applyProtection="1">
      <alignment horizontal="center" vertical="center"/>
      <protection locked="0"/>
    </xf>
    <xf numFmtId="0" fontId="1" fillId="0" borderId="1" xfId="1" applyBorder="1"/>
    <xf numFmtId="0" fontId="6" fillId="0" borderId="7" xfId="1" applyFont="1" applyFill="1" applyBorder="1" applyAlignment="1">
      <alignment vertical="center" wrapText="1"/>
    </xf>
    <xf numFmtId="0" fontId="6" fillId="0" borderId="8" xfId="1" applyFont="1" applyFill="1" applyBorder="1" applyAlignment="1">
      <alignment horizontal="center" vertical="center" wrapText="1"/>
    </xf>
    <xf numFmtId="0" fontId="7" fillId="0" borderId="0" xfId="2"/>
    <xf numFmtId="0" fontId="1" fillId="2" borderId="0" xfId="1" applyFill="1" applyBorder="1" applyAlignment="1">
      <alignment horizontal="center" vertical="center" wrapText="1"/>
    </xf>
    <xf numFmtId="0" fontId="1" fillId="3" borderId="0" xfId="1" applyFill="1" applyBorder="1" applyAlignment="1">
      <alignment horizontal="center" vertical="center" wrapText="1"/>
    </xf>
    <xf numFmtId="164" fontId="1" fillId="3" borderId="0" xfId="1" applyNumberFormat="1" applyFill="1" applyBorder="1" applyAlignment="1">
      <alignment horizontal="center" vertical="center" wrapText="1"/>
    </xf>
    <xf numFmtId="0" fontId="3" fillId="4" borderId="0" xfId="1" applyFont="1" applyFill="1" applyBorder="1" applyAlignment="1">
      <alignment horizontal="center" vertical="center" wrapText="1"/>
    </xf>
    <xf numFmtId="49" fontId="1" fillId="3" borderId="0" xfId="1" applyNumberForma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0" borderId="11" xfId="0" applyBorder="1"/>
    <xf numFmtId="14" fontId="0" fillId="0" borderId="0" xfId="0" applyNumberFormat="1"/>
    <xf numFmtId="0" fontId="0" fillId="0" borderId="0" xfId="0" applyAlignment="1">
      <alignment horizontal="center" vertical="center" wrapText="1"/>
    </xf>
    <xf numFmtId="0" fontId="0" fillId="3" borderId="0" xfId="0" applyFill="1" applyAlignment="1">
      <alignment horizontal="center" vertical="center" wrapText="1"/>
    </xf>
    <xf numFmtId="0" fontId="1" fillId="0" borderId="12" xfId="1" applyBorder="1" applyAlignment="1" applyProtection="1">
      <alignment horizontal="center" vertical="center"/>
      <protection locked="0"/>
    </xf>
    <xf numFmtId="0" fontId="0" fillId="0" borderId="1" xfId="1" applyFont="1" applyBorder="1"/>
    <xf numFmtId="0" fontId="0" fillId="0" borderId="0" xfId="0" applyBorder="1"/>
    <xf numFmtId="0" fontId="0" fillId="3" borderId="0" xfId="1" applyFont="1" applyFill="1" applyBorder="1" applyAlignment="1">
      <alignment horizontal="center" vertical="center" wrapText="1"/>
    </xf>
    <xf numFmtId="2" fontId="0" fillId="0" borderId="0" xfId="0" applyNumberFormat="1"/>
    <xf numFmtId="14" fontId="0" fillId="0" borderId="0" xfId="0" applyNumberFormat="1" applyAlignment="1">
      <alignment horizontal="center" vertical="center" wrapText="1"/>
    </xf>
    <xf numFmtId="0" fontId="0" fillId="0" borderId="3" xfId="1" applyFont="1" applyBorder="1" applyAlignment="1" applyProtection="1">
      <alignment horizontal="center" vertical="center"/>
      <protection locked="0"/>
    </xf>
    <xf numFmtId="0" fontId="0" fillId="0" borderId="5" xfId="1" applyFont="1" applyBorder="1" applyAlignment="1" applyProtection="1">
      <alignment horizontal="center" vertical="center"/>
      <protection locked="0"/>
    </xf>
    <xf numFmtId="0" fontId="0" fillId="0" borderId="10" xfId="1" applyFont="1" applyBorder="1" applyAlignment="1" applyProtection="1">
      <alignment horizontal="center" vertical="center"/>
      <protection locked="0"/>
    </xf>
    <xf numFmtId="0" fontId="0" fillId="0" borderId="1" xfId="1" applyFont="1" applyBorder="1" applyAlignment="1" applyProtection="1">
      <alignment horizontal="center" vertical="center"/>
      <protection locked="0"/>
    </xf>
    <xf numFmtId="49" fontId="1" fillId="3" borderId="11" xfId="1" applyNumberFormat="1" applyFill="1" applyBorder="1" applyAlignment="1">
      <alignment horizontal="center" vertical="center" wrapText="1"/>
    </xf>
    <xf numFmtId="0" fontId="0" fillId="2" borderId="0" xfId="1" applyFont="1" applyFill="1" applyBorder="1" applyAlignment="1">
      <alignment horizontal="center" vertical="center" wrapText="1"/>
    </xf>
    <xf numFmtId="0" fontId="6" fillId="0" borderId="7" xfId="1" applyFont="1" applyFill="1" applyBorder="1" applyAlignment="1">
      <alignment horizontal="center" vertical="center" wrapText="1"/>
    </xf>
    <xf numFmtId="0" fontId="6" fillId="0" borderId="8" xfId="1" applyFont="1" applyFill="1" applyBorder="1" applyAlignment="1">
      <alignment horizontal="center" vertical="center" wrapText="1"/>
    </xf>
    <xf numFmtId="0" fontId="2" fillId="5" borderId="2" xfId="1" applyFont="1" applyFill="1" applyBorder="1" applyAlignment="1">
      <alignment horizontal="center" vertical="center" wrapText="1"/>
    </xf>
    <xf numFmtId="0" fontId="2" fillId="5" borderId="4" xfId="1" applyFont="1" applyFill="1" applyBorder="1" applyAlignment="1">
      <alignment horizontal="center" vertical="center" wrapText="1"/>
    </xf>
    <xf numFmtId="0" fontId="2" fillId="5" borderId="9" xfId="1" applyFont="1" applyFill="1" applyBorder="1" applyAlignment="1">
      <alignment horizontal="center" vertical="center" wrapText="1"/>
    </xf>
    <xf numFmtId="0" fontId="2" fillId="6" borderId="2" xfId="1" applyFont="1" applyFill="1" applyBorder="1" applyAlignment="1">
      <alignment horizontal="center" vertical="center" wrapText="1"/>
    </xf>
    <xf numFmtId="0" fontId="1" fillId="6" borderId="3" xfId="1" applyFill="1" applyBorder="1" applyAlignment="1" applyProtection="1">
      <alignment horizontal="center" vertical="center"/>
      <protection locked="0"/>
    </xf>
    <xf numFmtId="0" fontId="1" fillId="6" borderId="0" xfId="1" applyFill="1"/>
    <xf numFmtId="0" fontId="2" fillId="6" borderId="4" xfId="1" applyFont="1" applyFill="1" applyBorder="1" applyAlignment="1">
      <alignment horizontal="center" vertical="center" wrapText="1"/>
    </xf>
    <xf numFmtId="0" fontId="1" fillId="6" borderId="5" xfId="1" applyFill="1" applyBorder="1" applyAlignment="1" applyProtection="1">
      <alignment horizontal="center" vertical="center"/>
      <protection locked="0"/>
    </xf>
    <xf numFmtId="0" fontId="2" fillId="6" borderId="9" xfId="1" applyFont="1" applyFill="1" applyBorder="1" applyAlignment="1">
      <alignment horizontal="center" vertical="center" wrapText="1"/>
    </xf>
    <xf numFmtId="0" fontId="1" fillId="6" borderId="6" xfId="1" applyFill="1" applyBorder="1" applyAlignment="1" applyProtection="1">
      <alignment horizontal="center" vertical="center"/>
      <protection locked="0"/>
    </xf>
  </cellXfs>
  <cellStyles count="3">
    <cellStyle name="Обычный" xfId="0" builtinId="0"/>
    <cellStyle name="Обычный 2" xfId="2"/>
    <cellStyle name="Обычный 3" xfId="1"/>
  </cellStyles>
  <dxfs count="41">
    <dxf>
      <numFmt numFmtId="0" formatCode="General"/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9" formatCode="dd/mm/yyyy"/>
      <alignment horizontal="center" vertical="center" textRotation="0" wrapText="0" indent="0" justifyLastLine="0" shrinkToFit="0" readingOrder="0"/>
    </dxf>
    <dxf>
      <numFmt numFmtId="19" formatCode="dd/mm/yyyy"/>
      <alignment horizontal="center" vertical="center" textRotation="0" wrapText="0" indent="0" justifyLastLine="0" shrinkToFit="0" readingOrder="0"/>
    </dxf>
    <dxf>
      <numFmt numFmtId="19" formatCode="dd/mm/yyyy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top style="medium">
          <color indexed="64"/>
        </top>
      </border>
    </dxf>
    <dxf>
      <alignment horizontal="center" vertical="center" textRotation="0" wrapText="0" indent="0" justifyLastLine="0" shrinkToFit="0" readingOrder="0"/>
    </dxf>
    <dxf>
      <numFmt numFmtId="30" formatCode="@"/>
      <fill>
        <patternFill patternType="solid">
          <fgColor indexed="64"/>
          <bgColor rgb="FF92D050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2" formatCode="0.00"/>
    </dxf>
    <dxf>
      <numFmt numFmtId="2" formatCode="0.00"/>
    </dxf>
    <dxf>
      <fill>
        <patternFill patternType="solid">
          <fgColor indexed="64"/>
          <bgColor rgb="FF92D050"/>
        </patternFill>
      </fill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142875</xdr:colOff>
          <xdr:row>0</xdr:row>
          <xdr:rowOff>38100</xdr:rowOff>
        </xdr:from>
        <xdr:to>
          <xdr:col>4</xdr:col>
          <xdr:colOff>238125</xdr:colOff>
          <xdr:row>1</xdr:row>
          <xdr:rowOff>123825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Создать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5" name="Таблица1" displayName="Таблица1" ref="A3:BW40" totalsRowShown="0" headerRowDxfId="40">
  <autoFilter ref="A3:BW40"/>
  <tableColumns count="75">
    <tableColumn id="1" name="сформировать" dataDxfId="39">
      <calculatedColumnFormula>Таблица1[впечать]</calculatedColumnFormula>
    </tableColumn>
    <tableColumn id="74" name="впечать" dataDxfId="38">
      <calculatedColumnFormula>IF(ISBLANK(_сформироватьАОСР),0,_сформироватьАОСР)</calculatedColumnFormula>
    </tableColumn>
    <tableColumn id="2" name="объект_строка1">
      <calculatedColumnFormula>IF(ISBLANK(_объект_с1Реквизиты),"",(_объект_с1Реквизиты))</calculatedColumnFormula>
    </tableColumn>
    <tableColumn id="3" name="объект_строка2">
      <calculatedColumnFormula>IF(ISBLANK(_объект_с2Реквизиты),"",_объект_с2Реквизиты)</calculatedColumnFormula>
    </tableColumn>
    <tableColumn id="4" name="объект_строка3">
      <calculatedColumnFormula>IF(ISBLANK(_объект_с3Реквизиты),"",_объект_с3Реквизиты)</calculatedColumnFormula>
    </tableColumn>
    <tableColumn id="5" name="застройщик_строка1">
      <calculatedColumnFormula>IF(ISBLANK(_застройщик_с1реквизиты),"",_застройщик_с1реквизиты)</calculatedColumnFormula>
    </tableColumn>
    <tableColumn id="6" name="застройщик_строка2">
      <calculatedColumnFormula>IF(ISBLANK(_застройщик_с2реквизиты),"",_застройщик_с2реквизиты)</calculatedColumnFormula>
    </tableColumn>
    <tableColumn id="7" name="застройщик_строка3">
      <calculatedColumnFormula>IF(ISBLANK(_застройщик_с3реквизиты),"",_застройщик_с3реквизиты)</calculatedColumnFormula>
    </tableColumn>
    <tableColumn id="8" name="застройщик_строка4">
      <calculatedColumnFormula>IF(ISBLANK(_застройщик_с4реквизиты),"",_застройщик_с4реквизиты)</calculatedColumnFormula>
    </tableColumn>
    <tableColumn id="9" name="заказчик_строка1">
      <calculatedColumnFormula>IF(ISBLANK(_заказчик_с1реквизиты),"",_заказчик_с1реквизиты)</calculatedColumnFormula>
    </tableColumn>
    <tableColumn id="10" name="заказчик_строка2">
      <calculatedColumnFormula>IF(ISBLANK(_заказчик_с2реквизиты),"",_заказчик_с2реквизиты)</calculatedColumnFormula>
    </tableColumn>
    <tableColumn id="11" name="заказчик_строка3">
      <calculatedColumnFormula>IF(ISBLANK(_заказчик_с3реквизиты),"",_заказчик_с3реквизиты)</calculatedColumnFormula>
    </tableColumn>
    <tableColumn id="12" name="заказчик_строка4">
      <calculatedColumnFormula>IF(ISBLANK(_заказчик_с4реквизиты),"",_заказчик_с4реквизиты)</calculatedColumnFormula>
    </tableColumn>
    <tableColumn id="13" name="строитель_строка1">
      <calculatedColumnFormula>IF(ISBLANK(_строитель_с1реквизиты),"",_строитель_с1реквизиты)</calculatedColumnFormula>
    </tableColumn>
    <tableColumn id="14" name="строитель_строка2">
      <calculatedColumnFormula>IF(ISBLANK(_строитель_с2реквизиты),"",_строитель_с2реквизиты)</calculatedColumnFormula>
    </tableColumn>
    <tableColumn id="15" name="строитель_строка3">
      <calculatedColumnFormula>IF(ISBLANK(_строитель_с3реквизиты),"",_строитель_с3реквизиты)</calculatedColumnFormula>
    </tableColumn>
    <tableColumn id="16" name="строитель_строка4">
      <calculatedColumnFormula>IF(ISBLANK(_строитель_с4реквизиты),"",_строитель_с4реквизиты)</calculatedColumnFormula>
    </tableColumn>
    <tableColumn id="17" name="проектировщик_строка1">
      <calculatedColumnFormula>IF(ISBLANK(_проектировщик_с1реквизиты),"",_проектировщик_с1реквизиты)</calculatedColumnFormula>
    </tableColumn>
    <tableColumn id="18" name="проектировщик_строка2">
      <calculatedColumnFormula>IF(ISBLANK(_проектировщик_с2реквизиты),"",_проектировщик_с2реквизиты)</calculatedColumnFormula>
    </tableColumn>
    <tableColumn id="19" name="проектировщик_строка3">
      <calculatedColumnFormula>IF(ISBLANK(_проектировщик_с3реквизиты),"",_проектировщик_с3реквизиты)</calculatedColumnFormula>
    </tableColumn>
    <tableColumn id="20" name="Накта">
      <calculatedColumnFormula>IF(ISBLANK(_№ппАОСР),"",CONCATENATE(_№ппАОСР,IF(ISBLANK(_интервалАОСР),"","/"&amp;_интервалАОСР)))</calculatedColumnFormula>
    </tableColumn>
    <tableColumn id="21" name="дата_акта">
      <calculatedColumnFormula>IF(ISBLANK(_датаактаАОСР),"",TEXT(_датаактаАОСР,"ДД.ММ.ГГГГ"))</calculatedColumnFormula>
    </tableColumn>
    <tableColumn id="22" name="день" dataDxfId="37">
      <calculatedColumnFormula>IF(ISBLANK(V4),"",TEXT(DAY(V4),"ДД"))</calculatedColumnFormula>
    </tableColumn>
    <tableColumn id="23" name="месяц" dataDxfId="36">
      <calculatedColumnFormula>IF(ISBLANK(V4),"",IF(MONTH(V4)=1,"Января",IF(MONTH(V4)=2,"Февраля",IF(MONTH(V4)=3,"Марта",IF(MONTH(V4)=4,"Апреля",IF(MONTH(V4)=5,"Мая",IF(MONTH(V4)=6,"Июня",IF(MONTH(V4)=7,"Июля",IF(MONTH(V4)=8,"Августа",IF(MONTH(V4)=9,"Сентября",IF(MONTH(V4)=10,"Октября",IF(MONTH(V4)=11,"Ноября",IF(MONTH(V4)=12,"Декабря",)))))))))))))</calculatedColumnFormula>
    </tableColumn>
    <tableColumn id="24" name="год" dataDxfId="35">
      <calculatedColumnFormula>IF(ISBLANK(V4),"",YEAR(V4))</calculatedColumnFormula>
    </tableColumn>
    <tableColumn id="25" name="п_заказчика_строка1">
      <calculatedColumnFormula>IF(ISBLANK(_п_заказчика_с1реквизиты),"",_п_заказчика_с1реквизиты)</calculatedColumnFormula>
    </tableColumn>
    <tableColumn id="26" name="п_заказчика_строка2">
      <calculatedColumnFormula>IF(ISBLANK(_п_заказчика_с2реквизиты),"",_п_заказчика_с2реквизиты)</calculatedColumnFormula>
    </tableColumn>
    <tableColumn id="27" name="п_заказчика_строка3">
      <calculatedColumnFormula>IF(ISBLANK(_п_заказчика_с3реквизиты),"",_п_заказчика_с3реквизиты)</calculatedColumnFormula>
    </tableColumn>
    <tableColumn id="28" name="п_заказчика_строка4">
      <calculatedColumnFormula>IF(ISBLANK(_п_заказчика_с4реквизиты),"",_п_заказчика_с4реквизиты)</calculatedColumnFormula>
    </tableColumn>
    <tableColumn id="29" name="п_строителя_строка1">
      <calculatedColumnFormula>IF(ISBLANK(п_строителя_с1реквизиты),"",п_строителя_с1реквизиты)</calculatedColumnFormula>
    </tableColumn>
    <tableColumn id="30" name="п_строителя_строка2">
      <calculatedColumnFormula>IF(ISBLANK(п_строителя_с2реквизиты),"",п_строителя_с2реквизиты)</calculatedColumnFormula>
    </tableColumn>
    <tableColumn id="31" name="п_строителя_строка3">
      <calculatedColumnFormula>IF(ISBLANK(п_строителя_с3реквизиты),"",п_строителя_с3реквизиты)</calculatedColumnFormula>
    </tableColumn>
    <tableColumn id="32" name="п_строителя_строка4">
      <calculatedColumnFormula>IF(ISBLANK(п_строителя_с4реквизиты),"",п_строителя_с4реквизиты)</calculatedColumnFormula>
    </tableColumn>
    <tableColumn id="33" name="п_сконтроль_строка1">
      <calculatedColumnFormula>IF(ISBLANK(_п_скстроителя_с1реквизиты),"",_п_скстроителя_с1реквизиты)</calculatedColumnFormula>
    </tableColumn>
    <tableColumn id="34" name="п_сконтроль_строка2">
      <calculatedColumnFormula>IF(ISBLANK(_п_скстроителя_с2реквизиты),"",_п_скстроителя_с2реквизиты)</calculatedColumnFormula>
    </tableColumn>
    <tableColumn id="35" name="п_сконтроль_строка3">
      <calculatedColumnFormula>IF(ISBLANK(_п_скстроителя_с3реквизиты),"",_п_скстроителя_с3реквизиты)</calculatedColumnFormula>
    </tableColumn>
    <tableColumn id="36" name="п_сконтроль_строка4">
      <calculatedColumnFormula>IF(ISBLANK(_п_скстроителя_с4реквизиты),"",_п_скстроителя_с4реквизиты)</calculatedColumnFormula>
    </tableColumn>
    <tableColumn id="37" name="п_проектировщик_строка1">
      <calculatedColumnFormula>IF(ISBLANK(_п_проектировщика_с1реквизиты),"",_п_проектировщика_с1реквизиты)</calculatedColumnFormula>
    </tableColumn>
    <tableColumn id="38" name="п_проектировщик_строка2">
      <calculatedColumnFormula>IF(ISBLANK(_п_проектировщика_с2реквизиты),"",_п_проектировщика_с2реквизиты)</calculatedColumnFormula>
    </tableColumn>
    <tableColumn id="39" name="п_проектировщик_строка3">
      <calculatedColumnFormula>IF(ISBLANK(_п_проектировщика_с3реквизиты),"",_п_проектировщика_с3реквизиты)</calculatedColumnFormula>
    </tableColumn>
    <tableColumn id="40" name="п_проектировщик_строка4">
      <calculatedColumnFormula>IF(ISBLANK(_п_проектировщика_с4реквизиты),"",_п_проектировщика_с4реквизиты)</calculatedColumnFormula>
    </tableColumn>
    <tableColumn id="41" name="п_выполн_работы_строка1">
      <calculatedColumnFormula>IF(ISBLANK(_п_выполн_с1реквизиты),"",_п_выполн_с1реквизиты)</calculatedColumnFormula>
    </tableColumn>
    <tableColumn id="42" name="п_выполн_работы_строка2">
      <calculatedColumnFormula>IF(ISBLANK(_п_выполн_с2реквизиты),"",_п_выполн_с2реквизиты)</calculatedColumnFormula>
    </tableColumn>
    <tableColumn id="43" name="п_выполн_работы_строка3">
      <calculatedColumnFormula>IF(ISBLANK(_п_выполн_с3реквизиты),"",_п_выполн_с3реквизиты)</calculatedColumnFormula>
    </tableColumn>
    <tableColumn id="44" name="п_выполн_работы_строка4">
      <calculatedColumnFormula>IF(ISBLANK(_п_выполн_с4реквизиты),"",_п_выполн_с4реквизиты)</calculatedColumnFormula>
    </tableColumn>
    <tableColumn id="45" name="п_иные">
      <calculatedColumnFormula>IF(ISBLANK(_иные_реквизиты),"",_иные_реквизиты)</calculatedColumnFormula>
    </tableColumn>
    <tableColumn id="46" name="компания">
      <calculatedColumnFormula>IF(ISBLANK(_компания_реквизиты),"",_компания_реквизиты)</calculatedColumnFormula>
    </tableColumn>
    <tableColumn id="47" name="работа">
      <calculatedColumnFormula>_видработАОСР</calculatedColumnFormula>
    </tableColumn>
    <tableColumn id="48" name="интервал">
      <calculatedColumnFormula>_интервалАОСР</calculatedColumnFormula>
    </tableColumn>
    <tableColumn id="49" name="колодец">
      <calculatedColumnFormula>_колодецАОСР</calculatedColumnFormula>
    </tableColumn>
    <tableColumn id="50" name="количество">
      <calculatedColumnFormula>_количествоАОСР</calculatedColumnFormula>
    </tableColumn>
    <tableColumn id="51" name="ед.измер">
      <calculatedColumnFormula>_ед.измерАОСР</calculatedColumnFormula>
    </tableColumn>
    <tableColumn id="52" name="работа_полная">
      <calculatedColumnFormula>CONCATENATE(IF(AV4=0,"",AV4),IF(AW4=0,""," "&amp;АОСР[[#Headers],[в интервале]]&amp;" "&amp;AW4),IF(AX4=0,""," "&amp;АОСР[[#Headers],[колодцев]]&amp;" "&amp;AX4),IF(AY4=0,""," ("&amp;AY4),IF(AZ4=0,""," "&amp;AZ4&amp;")"),IF(OR(AV4=0,AY4&lt;&gt;0,AZ4&lt;&gt;0),")",""))</calculatedColumnFormula>
    </tableColumn>
    <tableColumn id="53" name="проект">
      <calculatedColumnFormula>IF(ISBLANK(_проект_реквизиты),"",_проект_реквизиты)</calculatedColumnFormula>
    </tableColumn>
    <tableColumn id="54" name="материалы">
      <calculatedColumnFormula>IF(ISBLANK(_материалыАОСР),"",_материалыАОСР)</calculatedColumnFormula>
    </tableColumn>
    <tableColumn id="55" name="схемы_протоколы">
      <calculatedColumnFormula>CONCATENATE(IF(ISBLANK(_чертежиАОСР),"",_чертежиАОСР),IF(ISBLANK(_протоколыАОСР),"","; "&amp;_протоколыАОСР),IF(ISBLANK(_протоколы28АОСР),"","; "&amp;_протоколы28АОСР),IF(ISBLANK(_заключенияАОСР),"","; "&amp;_заключенияАОСР))</calculatedColumnFormula>
    </tableColumn>
    <tableColumn id="73" name="приложения">
      <calculatedColumnFormula>CONCATENATE(IF(ISBLANK(_чертежиАОСР),"",_чертежиАОСР),IF(ISBLANK(_протоколыАОСР),"","; "&amp;_протоколыАОСР),IF(ISBLANK(_протоколы28АОСР),"","; "&amp;_протоколы28АОСР),IF(ISBLANK(_заключенияАОСР),"","; "&amp;_заключенияАОСР))</calculatedColumnFormula>
    </tableColumn>
    <tableColumn id="56" name="дата_начала">
      <calculatedColumnFormula>IF(ISBLANK(_датаначалаАОСР),"",TEXT(_датаначалаАОСР,"ДД.ММ.ГГГГ"))</calculatedColumnFormula>
    </tableColumn>
    <tableColumn id="67" name="день_н" dataDxfId="34">
      <calculatedColumnFormula>IF(ISBLANK(BF4),"",TEXT(DAY(BF4),"ДД"))</calculatedColumnFormula>
    </tableColumn>
    <tableColumn id="68" name="месяц_н" dataDxfId="33">
      <calculatedColumnFormula>IF(ISBLANK(BF4),"",IF(MONTH(BF4)=1,"Января",IF(MONTH(BF4)=2,"Февраля",IF(MONTH(BF4)=3,"Марта",IF(MONTH(BF4)=4,"Апреля",IF(MONTH(BF4)=5,"Мая",IF(MONTH(BF4)=6,"Июня",IF(MONTH(BF4)=7,"Июля",IF(MONTH(BF4)=8,"Августа",IF(MONTH(BF4)=9,"Сентября",IF(MONTH(BF4)=10,"Октября",IF(MONTH(BF4)=11,"Ноября",IF(MONTH(BF4)=12,"Декабря",)))))))))))))</calculatedColumnFormula>
    </tableColumn>
    <tableColumn id="69" name="год_н" dataDxfId="32">
      <calculatedColumnFormula>IF(ISBLANK(BF4),"",YEAR(BF4))</calculatedColumnFormula>
    </tableColumn>
    <tableColumn id="57" name="дата_окончания">
      <calculatedColumnFormula>IF(ISBLANK(_датаокончанияАОСР),"",TEXT(_датаокончанияАОСР,"ДД.ММ.ГГГГ"))</calculatedColumnFormula>
    </tableColumn>
    <tableColumn id="70" name="день_о" dataDxfId="31">
      <calculatedColumnFormula>IF(ISBLANK(BJ4),"",TEXT(DAY(BJ4),"ДД"))</calculatedColumnFormula>
    </tableColumn>
    <tableColumn id="71" name="месяц_о" dataDxfId="30">
      <calculatedColumnFormula>IF(ISBLANK(BJ4),"",IF(MONTH(BJ4)=1,"Января",IF(MONTH(BJ4)=2,"Февраля",IF(MONTH(BJ4)=3,"Марта",IF(MONTH(BJ4)=4,"Апреля",IF(MONTH(BJ4)=5,"Мая",IF(MONTH(BJ4)=6,"Июня",IF(MONTH(BJ4)=7,"Июля",IF(MONTH(BJ4)=8,"Августа",IF(MONTH(BJ4)=9,"Сентября",IF(MONTH(BJ4)=10,"Октября",IF(MONTH(BJ4)=11,"Ноября",IF(MONTH(BJ4)=12,"Декабря",)))))))))))))</calculatedColumnFormula>
    </tableColumn>
    <tableColumn id="72" name="год_о" dataDxfId="29">
      <calculatedColumnFormula>IF(ISBLANK(BJ4),"",YEAR(BJ4))</calculatedColumnFormula>
    </tableColumn>
    <tableColumn id="58" name="в_соответствии">
      <calculatedColumnFormula>IF(ISBLANK(_всоответствии_реквизиты),"",CONCATENATE(_всоответствии_реквизиты,IF(ISBLANK(АОСР[СНИП]),"","; "&amp;АОСР[СНИП])))</calculatedColumnFormula>
    </tableColumn>
    <tableColumn id="59" name="последующие">
      <calculatedColumnFormula>IF(ISBLANK(_последующиеАОСР),"",_последующиеАОСР)</calculatedColumnFormula>
    </tableColumn>
    <tableColumn id="60" name="подпись_заказчик">
      <calculatedColumnFormula>IF(ISBLANK(_подписьзаказчика_реквизиты),"",_подписьзаказчика_реквизиты)</calculatedColumnFormula>
    </tableColumn>
    <tableColumn id="61" name="подпись_строитель">
      <calculatedColumnFormula>IF(ISBLANK(_подписьстроителя_реквизиты),"",_подписьстроителя_реквизиты)</calculatedColumnFormula>
    </tableColumn>
    <tableColumn id="62" name="подпись_скстроитель">
      <calculatedColumnFormula>IF(ISBLANK(_подписьскстроителя_реквизиты),"",_подписьскстроителя_реквизиты)</calculatedColumnFormula>
    </tableColumn>
    <tableColumn id="63" name="подпись_проектировщик">
      <calculatedColumnFormula>IF(ISBLANK(_подписьпроектировщика_реквизиты),"",_подписьпроектировщика_реквизиты)</calculatedColumnFormula>
    </tableColumn>
    <tableColumn id="64" name="подпись_выполнивший">
      <calculatedColumnFormula>IF(ISBLANK(_подписьвыполнившего_реквизиты),"",_подписьвыполнившего_реквизиты)</calculatedColumnFormula>
    </tableColumn>
    <tableColumn id="65" name="подпись_иные">
      <calculatedColumnFormula>IF(ISBLANK(_подписьиные_реквизиты),"",_подписьиные_реквизиты)</calculatedColumnFormula>
    </tableColumn>
    <tableColumn id="76" name="имя_файла">
      <calculatedColumnFormula>IF(LEN(Таблица1[Накта])&gt;60,
    LEFT(Таблица1[Накта],30),
    Таблица1[Накта])</calculatedColumnFormula>
    </tableColumn>
    <tableColumn id="101" name="номер_акта">
      <calculatedColumnFormula>IF(ISBLANK(_№ппАОСР),"",_№ппАОСР)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3" name="АОСР" displayName="АОСР" ref="A3:R4" totalsRowShown="0" headerRowDxfId="28" dataDxfId="27" tableBorderDxfId="26" headerRowCellStyle="Обычный 3">
  <autoFilter ref="A3:R4"/>
  <tableColumns count="18">
    <tableColumn id="1" name="сформировать" dataDxfId="25"/>
    <tableColumn id="2" name="№" dataDxfId="24"/>
    <tableColumn id="3" name="Вид работ" dataDxfId="23"/>
    <tableColumn id="4" name="в интервале" dataDxfId="22"/>
    <tableColumn id="5" name="колодцев" dataDxfId="21"/>
    <tableColumn id="6" name="Кол.-во" dataDxfId="20"/>
    <tableColumn id="7" name="ед. измер." dataDxfId="19"/>
    <tableColumn id="8" name="дата начала работ" dataDxfId="18"/>
    <tableColumn id="9" name="дата окончания" dataDxfId="17"/>
    <tableColumn id="10" name="дата акта" dataDxfId="16">
      <calculatedColumnFormula>IF(ISBLANK(АОСР[дата окончания]),"",АОСР[дата окончания])</calculatedColumnFormula>
    </tableColumn>
    <tableColumn id="11" name="Образец вида работ" dataDxfId="15">
      <calculatedColumnFormula>работа_полная</calculatedColumnFormula>
    </tableColumn>
    <tableColumn id="12" name="Последующие работы" dataDxfId="14"/>
    <tableColumn id="13" name="Материалы" dataDxfId="13"/>
    <tableColumn id="14" name="Исполнительные чертежи" dataDxfId="12"/>
    <tableColumn id="15" name="№ Протокол испытания 7дней" dataDxfId="11"/>
    <tableColumn id="16" name="№ Протокол испытания 28дней" dataDxfId="10"/>
    <tableColumn id="17" name="№ Заключение" dataDxfId="9"/>
    <tableColumn id="18" name="СНИП" dataDxfId="8"/>
  </tableColumns>
  <tableStyleInfo name="TableStyleLight21" showFirstColumn="0" showLastColumn="0" showRowStripes="1" showColumnStripes="0"/>
</table>
</file>

<file path=xl/tables/table3.xml><?xml version="1.0" encoding="utf-8"?>
<table xmlns="http://schemas.openxmlformats.org/spreadsheetml/2006/main" id="2" name="Таблица2" displayName="Таблица2" ref="A1:R3" totalsRowShown="0">
  <autoFilter ref="A1:R3"/>
  <tableColumns count="18">
    <tableColumn id="1" name="№п/п"/>
    <tableColumn id="2" name="наименование материала"/>
    <tableColumn id="3" name="вид документа 1"/>
    <tableColumn id="4" name="номер документа 1"/>
    <tableColumn id="5" name="дата документа 1" dataDxfId="7"/>
    <tableColumn id="6" name="вид документа 2"/>
    <tableColumn id="7" name="номер документа 2"/>
    <tableColumn id="8" name="дата документа 2" dataDxfId="6"/>
    <tableColumn id="9" name="вид документа 3"/>
    <tableColumn id="10" name="номер документа 3"/>
    <tableColumn id="11" name="дата документа 3" dataDxfId="5"/>
    <tableColumn id="12" name="вид документа 4"/>
    <tableColumn id="13" name="номер документа 4"/>
    <tableColumn id="14" name="дата документа 4" dataDxfId="4"/>
    <tableColumn id="15" name="вид документа 5"/>
    <tableColumn id="16" name="номер документа 5"/>
    <tableColumn id="17" name="дата документа 5" dataDxfId="3"/>
    <tableColumn id="18" name="материал полностью">
      <calculatedColumnFormula>CONCATENATE(Таблица2[наименование материала],IF(ISBLANK(Таблица2[вид документа 1]),""," ("&amp;Таблица2[вид документа 1]),IF(ISBLANK(Таблица2[номер документа 1]),""," №"&amp;Таблица2[номер документа 1]),IF(ISBLANK(Таблица2[дата документа 1]),""," от "&amp;TEXT(Таблица2[дата документа 1],"ДД.ММ.ГГГГ")),IF(ISBLANK(Таблица2[вид документа 2]),"",", "&amp;Таблица2[вид документа 2]),IF(ISBLANK(Таблица2[номер документа 2]),""," №"&amp;Таблица2[номер документа 2]),IF(ISBLANK(Таблица2[дата документа 2]),""," от "&amp;TEXT(Таблица2[дата документа 2],"ДД.ММ.ГГГГ")),IF(ISBLANK(Таблица2[вид документа 3]),"",", "&amp;Таблица2[вид документа 3]),IF(ISBLANK(Таблица2[номер документа 3]),""," №"&amp;Таблица2[номер документа 3]),IF(ISBLANK(Таблица2[дата документа 3]),""," от "&amp;TEXT(Таблица2[дата документа 3],"ДД.ММ.ГГГГ")),IF(ISBLANK(Таблица2[вид документа 4]),"",", "&amp;Таблица2[вид документа 4]),IF(ISBLANK(Таблица2[номер документа 4]),""," №"&amp;Таблица2[номер документа 4]),IF(ISBLANK(Таблица2[дата документа 4]),""," от "&amp;TEXT(Таблица2[дата документа 4],"ДД.ММ.ГГГГ")),IF(ISBLANK(Таблица2[вид документа 5]),"",", "&amp;Таблица2[вид документа 5]),IF(ISBLANK(Таблица2[номер документа 5]),""," №"&amp;Таблица2[номер документа 5]),IF(ISBLANK(Таблица2[дата документа 5]),")"," от "&amp;TEXT(Таблица2[дата документа 5],"ДД.ММ.ГГГГ")&amp;")"))</calculatedColumnFormula>
    </tableColumn>
  </tableColumns>
  <tableStyleInfo name="TableStyleLight21" showFirstColumn="0" showLastColumn="0" showRowStripes="1" showColumnStripes="0"/>
</table>
</file>

<file path=xl/tables/table4.xml><?xml version="1.0" encoding="utf-8"?>
<table xmlns="http://schemas.openxmlformats.org/spreadsheetml/2006/main" id="6" name="ед.измерсправочник" displayName="ед.измерсправочник" ref="A1:A9" totalsRowShown="0" tableBorderDxfId="2">
  <autoFilter ref="A1:A9"/>
  <tableColumns count="1">
    <tableColumn id="1" name="ед.измер.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7" name="виддокументсправочник" displayName="виддокументсправочник" ref="B1:B8" totalsRowShown="0" tableBorderDxfId="1">
  <autoFilter ref="B1:B8"/>
  <tableColumns count="1">
    <tableColumn id="1" name="вид документов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1" name="Снип_таблица" displayName="Снип_таблица" ref="A1:C76" totalsRowShown="0">
  <autoFilter ref="A1:C76"/>
  <tableColumns count="3">
    <tableColumn id="4" name="Шифр норматива"/>
    <tableColumn id="5" name="Описание"/>
    <tableColumn id="6" name="Полное название" dataDxfId="0">
      <calculatedColumnFormula>Снип_таблица[[#This Row],[Шифр норматива]]&amp;" "&amp;Снип_таблица[[#This Row],[Описание]]</calculatedColumnFormula>
    </tableColumn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1.xml"/><Relationship Id="rId5" Type="http://schemas.openxmlformats.org/officeDocument/2006/relationships/table" Target="../tables/table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4">
    <tabColor theme="9"/>
  </sheetPr>
  <dimension ref="A1:W68"/>
  <sheetViews>
    <sheetView tabSelected="1" topLeftCell="A52" workbookViewId="0">
      <selection activeCell="B75" sqref="B75"/>
    </sheetView>
  </sheetViews>
  <sheetFormatPr defaultRowHeight="15" x14ac:dyDescent="0.25"/>
  <cols>
    <col min="1" max="1" width="39.140625" style="2" customWidth="1"/>
    <col min="2" max="2" width="115.140625" style="2" customWidth="1"/>
    <col min="3" max="7" width="35.7109375" style="2" customWidth="1"/>
    <col min="8" max="8" width="13.28515625" style="2" customWidth="1"/>
    <col min="9" max="9" width="12.5703125" style="2" customWidth="1"/>
    <col min="10" max="10" width="14.42578125" style="2" customWidth="1"/>
    <col min="11" max="11" width="15" style="2" customWidth="1"/>
    <col min="12" max="12" width="12" style="2" customWidth="1"/>
    <col min="13" max="13" width="14.5703125" style="2" customWidth="1"/>
    <col min="14" max="14" width="18.28515625" style="2" customWidth="1"/>
    <col min="15" max="15" width="14.28515625" style="2" customWidth="1"/>
    <col min="16" max="16384" width="9.140625" style="2"/>
  </cols>
  <sheetData>
    <row r="1" spans="1:23" x14ac:dyDescent="0.25">
      <c r="A1" s="39" t="s">
        <v>12</v>
      </c>
      <c r="B1" s="31"/>
      <c r="W1" s="3"/>
    </row>
    <row r="2" spans="1:23" x14ac:dyDescent="0.25">
      <c r="A2" s="40"/>
      <c r="B2" s="32"/>
      <c r="W2" s="3"/>
    </row>
    <row r="3" spans="1:23" ht="15.75" thickBot="1" x14ac:dyDescent="0.3">
      <c r="A3" s="40"/>
      <c r="B3" s="32"/>
      <c r="W3" s="3"/>
    </row>
    <row r="4" spans="1:23" ht="15.75" thickBot="1" x14ac:dyDescent="0.3">
      <c r="A4" s="37" t="s">
        <v>13</v>
      </c>
      <c r="B4" s="38"/>
      <c r="W4" s="3"/>
    </row>
    <row r="5" spans="1:23" x14ac:dyDescent="0.25">
      <c r="A5" s="39" t="s">
        <v>14</v>
      </c>
      <c r="B5" s="1"/>
    </row>
    <row r="6" spans="1:23" x14ac:dyDescent="0.25">
      <c r="A6" s="40"/>
      <c r="B6" s="4"/>
    </row>
    <row r="7" spans="1:23" x14ac:dyDescent="0.25">
      <c r="A7" s="40"/>
      <c r="B7" s="4"/>
    </row>
    <row r="8" spans="1:23" ht="15.75" thickBot="1" x14ac:dyDescent="0.3">
      <c r="A8" s="41"/>
      <c r="B8" s="5"/>
    </row>
    <row r="9" spans="1:23" ht="64.5" customHeight="1" thickBot="1" x14ac:dyDescent="0.3">
      <c r="A9" s="37" t="s">
        <v>15</v>
      </c>
      <c r="B9" s="38"/>
    </row>
    <row r="10" spans="1:23" s="44" customFormat="1" x14ac:dyDescent="0.25">
      <c r="A10" s="42" t="s">
        <v>16</v>
      </c>
      <c r="B10" s="43"/>
    </row>
    <row r="11" spans="1:23" s="44" customFormat="1" x14ac:dyDescent="0.25">
      <c r="A11" s="45"/>
      <c r="B11" s="46"/>
    </row>
    <row r="12" spans="1:23" s="44" customFormat="1" x14ac:dyDescent="0.25">
      <c r="A12" s="45"/>
      <c r="B12" s="46"/>
    </row>
    <row r="13" spans="1:23" s="44" customFormat="1" ht="15.75" thickBot="1" x14ac:dyDescent="0.3">
      <c r="A13" s="47"/>
      <c r="B13" s="48"/>
    </row>
    <row r="14" spans="1:23" ht="66" customHeight="1" thickBot="1" x14ac:dyDescent="0.3">
      <c r="A14" s="37" t="s">
        <v>15</v>
      </c>
      <c r="B14" s="38"/>
    </row>
    <row r="15" spans="1:23" x14ac:dyDescent="0.25">
      <c r="A15" s="39" t="s">
        <v>17</v>
      </c>
      <c r="B15" s="6"/>
    </row>
    <row r="16" spans="1:23" x14ac:dyDescent="0.25">
      <c r="A16" s="40"/>
      <c r="B16" s="4"/>
    </row>
    <row r="17" spans="1:2" x14ac:dyDescent="0.25">
      <c r="A17" s="40"/>
      <c r="B17" s="4"/>
    </row>
    <row r="18" spans="1:2" ht="15.75" thickBot="1" x14ac:dyDescent="0.3">
      <c r="A18" s="41"/>
      <c r="B18" s="7"/>
    </row>
    <row r="19" spans="1:2" ht="54" customHeight="1" thickBot="1" x14ac:dyDescent="0.3">
      <c r="A19" s="37" t="s">
        <v>18</v>
      </c>
      <c r="B19" s="38"/>
    </row>
    <row r="20" spans="1:2" x14ac:dyDescent="0.25">
      <c r="A20" s="39" t="s">
        <v>19</v>
      </c>
      <c r="B20" s="1"/>
    </row>
    <row r="21" spans="1:2" x14ac:dyDescent="0.25">
      <c r="A21" s="40"/>
      <c r="B21" s="4"/>
    </row>
    <row r="22" spans="1:2" ht="15.75" thickBot="1" x14ac:dyDescent="0.3">
      <c r="A22" s="40"/>
      <c r="B22" s="4"/>
    </row>
    <row r="23" spans="1:2" ht="51" customHeight="1" thickBot="1" x14ac:dyDescent="0.3">
      <c r="A23" s="37" t="s">
        <v>20</v>
      </c>
      <c r="B23" s="38"/>
    </row>
    <row r="24" spans="1:2" x14ac:dyDescent="0.25">
      <c r="A24" s="39" t="s">
        <v>21</v>
      </c>
      <c r="B24" s="31"/>
    </row>
    <row r="25" spans="1:2" x14ac:dyDescent="0.25">
      <c r="A25" s="40"/>
      <c r="B25" s="32"/>
    </row>
    <row r="26" spans="1:2" x14ac:dyDescent="0.25">
      <c r="A26" s="40"/>
      <c r="B26" s="32"/>
    </row>
    <row r="27" spans="1:2" ht="15.75" thickBot="1" x14ac:dyDescent="0.3">
      <c r="A27" s="41"/>
      <c r="B27" s="33"/>
    </row>
    <row r="28" spans="1:2" ht="69.75" customHeight="1" thickBot="1" x14ac:dyDescent="0.3">
      <c r="A28" s="37" t="s">
        <v>22</v>
      </c>
      <c r="B28" s="38"/>
    </row>
    <row r="29" spans="1:2" x14ac:dyDescent="0.25">
      <c r="A29" s="39" t="s">
        <v>23</v>
      </c>
      <c r="B29" s="31" t="s">
        <v>310</v>
      </c>
    </row>
    <row r="30" spans="1:2" x14ac:dyDescent="0.25">
      <c r="A30" s="40"/>
      <c r="B30" s="4"/>
    </row>
    <row r="31" spans="1:2" x14ac:dyDescent="0.25">
      <c r="A31" s="40"/>
      <c r="B31" s="4"/>
    </row>
    <row r="32" spans="1:2" ht="15.75" thickBot="1" x14ac:dyDescent="0.3">
      <c r="A32" s="41"/>
      <c r="B32" s="7"/>
    </row>
    <row r="33" spans="1:2" ht="15.75" thickBot="1" x14ac:dyDescent="0.3">
      <c r="A33" s="37" t="s">
        <v>24</v>
      </c>
      <c r="B33" s="38"/>
    </row>
    <row r="34" spans="1:2" x14ac:dyDescent="0.25">
      <c r="A34" s="39" t="s">
        <v>25</v>
      </c>
      <c r="B34" s="31"/>
    </row>
    <row r="35" spans="1:2" x14ac:dyDescent="0.25">
      <c r="A35" s="40"/>
      <c r="B35" s="32"/>
    </row>
    <row r="36" spans="1:2" x14ac:dyDescent="0.25">
      <c r="A36" s="40"/>
      <c r="B36" s="4"/>
    </row>
    <row r="37" spans="1:2" ht="15.75" thickBot="1" x14ac:dyDescent="0.3">
      <c r="A37" s="41"/>
      <c r="B37" s="7"/>
    </row>
    <row r="38" spans="1:2" ht="41.25" customHeight="1" thickBot="1" x14ac:dyDescent="0.3">
      <c r="A38" s="37" t="s">
        <v>26</v>
      </c>
      <c r="B38" s="38"/>
    </row>
    <row r="39" spans="1:2" ht="15" customHeight="1" x14ac:dyDescent="0.25">
      <c r="A39" s="39" t="s">
        <v>27</v>
      </c>
      <c r="B39" s="31"/>
    </row>
    <row r="40" spans="1:2" x14ac:dyDescent="0.25">
      <c r="A40" s="40"/>
      <c r="B40" s="4"/>
    </row>
    <row r="41" spans="1:2" x14ac:dyDescent="0.25">
      <c r="A41" s="40"/>
      <c r="B41" s="4"/>
    </row>
    <row r="42" spans="1:2" ht="15.75" thickBot="1" x14ac:dyDescent="0.3">
      <c r="A42" s="41"/>
      <c r="B42" s="25"/>
    </row>
    <row r="43" spans="1:2" ht="39" customHeight="1" thickBot="1" x14ac:dyDescent="0.3">
      <c r="A43" s="37" t="s">
        <v>28</v>
      </c>
      <c r="B43" s="38"/>
    </row>
    <row r="44" spans="1:2" x14ac:dyDescent="0.25">
      <c r="A44" s="39" t="s">
        <v>29</v>
      </c>
      <c r="B44" s="31"/>
    </row>
    <row r="45" spans="1:2" x14ac:dyDescent="0.25">
      <c r="A45" s="40"/>
      <c r="B45" s="4"/>
    </row>
    <row r="46" spans="1:2" x14ac:dyDescent="0.25">
      <c r="A46" s="40"/>
      <c r="B46" s="4"/>
    </row>
    <row r="47" spans="1:2" ht="15.75" thickBot="1" x14ac:dyDescent="0.3">
      <c r="A47" s="41"/>
      <c r="B47" s="7"/>
    </row>
    <row r="48" spans="1:2" ht="42" customHeight="1" thickBot="1" x14ac:dyDescent="0.3">
      <c r="A48" s="37" t="s">
        <v>28</v>
      </c>
      <c r="B48" s="38"/>
    </row>
    <row r="49" spans="1:7" ht="15" customHeight="1" thickBot="1" x14ac:dyDescent="0.3">
      <c r="A49" s="8" t="s">
        <v>30</v>
      </c>
      <c r="B49" s="9"/>
    </row>
    <row r="50" spans="1:7" ht="15.75" thickBot="1" x14ac:dyDescent="0.3">
      <c r="A50" s="37" t="s">
        <v>31</v>
      </c>
      <c r="B50" s="38"/>
    </row>
    <row r="51" spans="1:7" ht="15.75" thickBot="1" x14ac:dyDescent="0.3">
      <c r="A51" s="8" t="s">
        <v>32</v>
      </c>
      <c r="B51" s="9"/>
    </row>
    <row r="52" spans="1:7" ht="15.75" thickBot="1" x14ac:dyDescent="0.3">
      <c r="A52" s="37" t="s">
        <v>33</v>
      </c>
      <c r="B52" s="38"/>
    </row>
    <row r="53" spans="1:7" ht="30.75" thickBot="1" x14ac:dyDescent="0.3">
      <c r="A53" s="8" t="s">
        <v>34</v>
      </c>
      <c r="B53" s="9"/>
    </row>
    <row r="54" spans="1:7" ht="23.25" customHeight="1" thickBot="1" x14ac:dyDescent="0.3">
      <c r="A54" s="37" t="s">
        <v>35</v>
      </c>
      <c r="B54" s="38"/>
    </row>
    <row r="55" spans="1:7" ht="15.75" thickBot="1" x14ac:dyDescent="0.3">
      <c r="A55" s="8" t="s">
        <v>36</v>
      </c>
      <c r="B55" s="34"/>
      <c r="C55" s="10"/>
      <c r="D55" s="26"/>
      <c r="E55" s="10"/>
      <c r="F55" s="10"/>
      <c r="G55" s="10"/>
    </row>
    <row r="56" spans="1:7" ht="15.75" thickBot="1" x14ac:dyDescent="0.3">
      <c r="A56" s="11"/>
      <c r="B56" s="12" t="s">
        <v>37</v>
      </c>
      <c r="C56" s="12" t="s">
        <v>38</v>
      </c>
      <c r="D56" s="12" t="s">
        <v>39</v>
      </c>
      <c r="E56" s="12" t="s">
        <v>40</v>
      </c>
      <c r="F56" s="12" t="s">
        <v>41</v>
      </c>
      <c r="G56" s="12" t="s">
        <v>42</v>
      </c>
    </row>
    <row r="57" spans="1:7" ht="30.75" thickBot="1" x14ac:dyDescent="0.3">
      <c r="A57" s="8" t="s">
        <v>21</v>
      </c>
      <c r="B57" s="34"/>
    </row>
    <row r="58" spans="1:7" ht="15.75" thickBot="1" x14ac:dyDescent="0.3">
      <c r="B58" s="12" t="s">
        <v>43</v>
      </c>
    </row>
    <row r="59" spans="1:7" ht="30.75" thickBot="1" x14ac:dyDescent="0.3">
      <c r="A59" s="8" t="s">
        <v>44</v>
      </c>
      <c r="B59" s="34"/>
    </row>
    <row r="60" spans="1:7" ht="15.75" thickBot="1" x14ac:dyDescent="0.3">
      <c r="B60" s="12" t="s">
        <v>43</v>
      </c>
    </row>
    <row r="61" spans="1:7" ht="45.75" thickBot="1" x14ac:dyDescent="0.3">
      <c r="A61" s="8" t="s">
        <v>25</v>
      </c>
      <c r="B61" s="34"/>
    </row>
    <row r="62" spans="1:7" ht="15.75" thickBot="1" x14ac:dyDescent="0.3">
      <c r="B62" s="12" t="s">
        <v>43</v>
      </c>
    </row>
    <row r="63" spans="1:7" ht="30.75" thickBot="1" x14ac:dyDescent="0.3">
      <c r="A63" s="8" t="s">
        <v>45</v>
      </c>
      <c r="B63" s="34"/>
    </row>
    <row r="64" spans="1:7" ht="15.75" thickBot="1" x14ac:dyDescent="0.3">
      <c r="B64" s="12" t="s">
        <v>43</v>
      </c>
    </row>
    <row r="65" spans="1:2" ht="45.75" thickBot="1" x14ac:dyDescent="0.3">
      <c r="A65" s="8" t="s">
        <v>29</v>
      </c>
      <c r="B65" s="34"/>
    </row>
    <row r="66" spans="1:2" ht="15.75" thickBot="1" x14ac:dyDescent="0.3">
      <c r="B66" s="12" t="s">
        <v>43</v>
      </c>
    </row>
    <row r="67" spans="1:2" ht="15.75" thickBot="1" x14ac:dyDescent="0.3">
      <c r="A67" s="8" t="s">
        <v>46</v>
      </c>
      <c r="B67" s="9"/>
    </row>
    <row r="68" spans="1:2" ht="15.75" thickBot="1" x14ac:dyDescent="0.3">
      <c r="B68" s="12" t="s">
        <v>43</v>
      </c>
    </row>
  </sheetData>
  <mergeCells count="23">
    <mergeCell ref="A44:A47"/>
    <mergeCell ref="A48:B48"/>
    <mergeCell ref="A50:B50"/>
    <mergeCell ref="A52:B52"/>
    <mergeCell ref="A54:B54"/>
    <mergeCell ref="A43:B43"/>
    <mergeCell ref="A15:A18"/>
    <mergeCell ref="A19:B19"/>
    <mergeCell ref="A20:A22"/>
    <mergeCell ref="A23:B23"/>
    <mergeCell ref="A24:A27"/>
    <mergeCell ref="A28:B28"/>
    <mergeCell ref="A29:A32"/>
    <mergeCell ref="A33:B33"/>
    <mergeCell ref="A34:A37"/>
    <mergeCell ref="A38:B38"/>
    <mergeCell ref="A14:B14"/>
    <mergeCell ref="A39:A42"/>
    <mergeCell ref="A1:A3"/>
    <mergeCell ref="A4:B4"/>
    <mergeCell ref="A5:A8"/>
    <mergeCell ref="A9:B9"/>
    <mergeCell ref="A10:A13"/>
  </mergeCells>
  <dataValidations count="1">
    <dataValidation type="list" allowBlank="1" showInputMessage="1" showErrorMessage="1" sqref="C55:G55">
      <formula1>снипы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>
    <tabColor rgb="FFFF0000"/>
  </sheetPr>
  <dimension ref="A2:BW40"/>
  <sheetViews>
    <sheetView topLeftCell="AP1" workbookViewId="0">
      <selection activeCell="AV15" sqref="AV15"/>
    </sheetView>
  </sheetViews>
  <sheetFormatPr defaultRowHeight="15" x14ac:dyDescent="0.25"/>
  <cols>
    <col min="1" max="2" width="16.5703125" customWidth="1"/>
    <col min="3" max="5" width="17.5703125" customWidth="1"/>
    <col min="6" max="9" width="22" customWidth="1"/>
    <col min="10" max="13" width="19" customWidth="1"/>
    <col min="14" max="17" width="20.42578125" customWidth="1"/>
    <col min="18" max="20" width="25.85546875" customWidth="1"/>
    <col min="21" max="25" width="15.7109375" customWidth="1"/>
    <col min="26" max="29" width="22.140625" customWidth="1"/>
    <col min="30" max="33" width="22.5703125" customWidth="1"/>
    <col min="34" max="37" width="22.7109375" customWidth="1"/>
    <col min="38" max="41" width="28" customWidth="1"/>
    <col min="42" max="45" width="28.28515625" customWidth="1"/>
    <col min="46" max="52" width="15.7109375" customWidth="1"/>
    <col min="53" max="53" width="34.42578125" customWidth="1"/>
    <col min="54" max="55" width="15.7109375" customWidth="1"/>
    <col min="56" max="57" width="20.5703125" customWidth="1"/>
    <col min="58" max="61" width="15.7109375" customWidth="1"/>
    <col min="62" max="65" width="18" customWidth="1"/>
    <col min="66" max="66" width="14.85546875" customWidth="1"/>
    <col min="67" max="67" width="16.42578125" customWidth="1"/>
    <col min="68" max="68" width="19.7109375" customWidth="1"/>
    <col min="69" max="69" width="21.140625" customWidth="1"/>
    <col min="70" max="70" width="23" customWidth="1"/>
    <col min="71" max="71" width="26.5703125" customWidth="1"/>
    <col min="72" max="72" width="25" customWidth="1"/>
    <col min="73" max="73" width="16.85546875" customWidth="1"/>
    <col min="74" max="83" width="15.7109375" customWidth="1"/>
  </cols>
  <sheetData>
    <row r="2" spans="1:75" x14ac:dyDescent="0.25">
      <c r="A2" t="s">
        <v>196</v>
      </c>
      <c r="B2" t="s">
        <v>307</v>
      </c>
      <c r="C2" t="s">
        <v>239</v>
      </c>
      <c r="D2" t="s">
        <v>240</v>
      </c>
      <c r="E2" t="s">
        <v>241</v>
      </c>
      <c r="F2" t="s">
        <v>257</v>
      </c>
      <c r="G2" t="s">
        <v>256</v>
      </c>
      <c r="H2" t="s">
        <v>255</v>
      </c>
      <c r="I2" t="s">
        <v>254</v>
      </c>
      <c r="J2" t="s">
        <v>253</v>
      </c>
      <c r="K2" t="s">
        <v>252</v>
      </c>
      <c r="L2" t="s">
        <v>251</v>
      </c>
      <c r="M2" t="s">
        <v>249</v>
      </c>
      <c r="N2" t="s">
        <v>250</v>
      </c>
      <c r="O2" t="s">
        <v>248</v>
      </c>
      <c r="P2" t="s">
        <v>247</v>
      </c>
      <c r="Q2" t="s">
        <v>246</v>
      </c>
      <c r="R2" t="s">
        <v>245</v>
      </c>
      <c r="S2" t="s">
        <v>244</v>
      </c>
      <c r="T2" t="s">
        <v>243</v>
      </c>
      <c r="U2" t="s">
        <v>299</v>
      </c>
      <c r="V2" t="s">
        <v>242</v>
      </c>
      <c r="W2" t="s">
        <v>295</v>
      </c>
      <c r="X2" t="s">
        <v>296</v>
      </c>
      <c r="Y2" t="s">
        <v>297</v>
      </c>
      <c r="Z2" t="s">
        <v>258</v>
      </c>
      <c r="AA2" t="s">
        <v>259</v>
      </c>
      <c r="AB2" t="s">
        <v>260</v>
      </c>
      <c r="AC2" t="s">
        <v>261</v>
      </c>
      <c r="AD2" t="s">
        <v>262</v>
      </c>
      <c r="AE2" t="s">
        <v>263</v>
      </c>
      <c r="AF2" t="s">
        <v>264</v>
      </c>
      <c r="AG2" t="s">
        <v>265</v>
      </c>
      <c r="AH2" t="s">
        <v>266</v>
      </c>
      <c r="AI2" t="s">
        <v>267</v>
      </c>
      <c r="AJ2" t="s">
        <v>268</v>
      </c>
      <c r="AK2" t="s">
        <v>269</v>
      </c>
      <c r="AL2" t="s">
        <v>270</v>
      </c>
      <c r="AM2" t="s">
        <v>271</v>
      </c>
      <c r="AN2" t="s">
        <v>272</v>
      </c>
      <c r="AO2" t="s">
        <v>273</v>
      </c>
      <c r="AP2" t="s">
        <v>274</v>
      </c>
      <c r="AQ2" t="s">
        <v>275</v>
      </c>
      <c r="AR2" t="s">
        <v>276</v>
      </c>
      <c r="AS2" t="s">
        <v>277</v>
      </c>
      <c r="AT2" t="s">
        <v>278</v>
      </c>
      <c r="AU2" t="s">
        <v>279</v>
      </c>
      <c r="AV2" t="s">
        <v>206</v>
      </c>
      <c r="AW2" t="s">
        <v>208</v>
      </c>
      <c r="AX2" t="s">
        <v>209</v>
      </c>
      <c r="AY2" t="s">
        <v>210</v>
      </c>
      <c r="AZ2" t="s">
        <v>211</v>
      </c>
      <c r="BA2" t="s">
        <v>207</v>
      </c>
      <c r="BB2" t="s">
        <v>280</v>
      </c>
      <c r="BC2" t="s">
        <v>281</v>
      </c>
      <c r="BD2" t="s">
        <v>283</v>
      </c>
      <c r="BE2" t="s">
        <v>306</v>
      </c>
      <c r="BF2" t="s">
        <v>282</v>
      </c>
      <c r="BG2" t="s">
        <v>301</v>
      </c>
      <c r="BH2" t="s">
        <v>300</v>
      </c>
      <c r="BI2" t="s">
        <v>302</v>
      </c>
      <c r="BJ2" t="s">
        <v>284</v>
      </c>
      <c r="BK2" t="s">
        <v>303</v>
      </c>
      <c r="BL2" t="s">
        <v>304</v>
      </c>
      <c r="BM2" t="s">
        <v>305</v>
      </c>
      <c r="BN2" t="s">
        <v>285</v>
      </c>
      <c r="BO2" t="s">
        <v>286</v>
      </c>
      <c r="BP2" t="s">
        <v>287</v>
      </c>
      <c r="BQ2" t="s">
        <v>288</v>
      </c>
      <c r="BR2" t="s">
        <v>289</v>
      </c>
      <c r="BS2" t="s">
        <v>290</v>
      </c>
      <c r="BT2" t="s">
        <v>291</v>
      </c>
      <c r="BU2" t="s">
        <v>292</v>
      </c>
      <c r="BV2" t="s">
        <v>308</v>
      </c>
      <c r="BW2" t="s">
        <v>316</v>
      </c>
    </row>
    <row r="3" spans="1:75" s="23" customFormat="1" ht="30" x14ac:dyDescent="0.25">
      <c r="A3" s="24" t="s">
        <v>196</v>
      </c>
      <c r="B3" s="24" t="s">
        <v>307</v>
      </c>
      <c r="C3" s="24" t="s">
        <v>239</v>
      </c>
      <c r="D3" s="24" t="s">
        <v>240</v>
      </c>
      <c r="E3" s="24" t="s">
        <v>241</v>
      </c>
      <c r="F3" s="24" t="s">
        <v>257</v>
      </c>
      <c r="G3" s="24" t="s">
        <v>256</v>
      </c>
      <c r="H3" s="24" t="s">
        <v>255</v>
      </c>
      <c r="I3" s="24" t="s">
        <v>254</v>
      </c>
      <c r="J3" s="24" t="s">
        <v>253</v>
      </c>
      <c r="K3" s="24" t="s">
        <v>252</v>
      </c>
      <c r="L3" s="24" t="s">
        <v>251</v>
      </c>
      <c r="M3" s="24" t="s">
        <v>249</v>
      </c>
      <c r="N3" s="24" t="s">
        <v>250</v>
      </c>
      <c r="O3" s="24" t="s">
        <v>248</v>
      </c>
      <c r="P3" s="24" t="s">
        <v>247</v>
      </c>
      <c r="Q3" s="24" t="s">
        <v>246</v>
      </c>
      <c r="R3" s="24" t="s">
        <v>245</v>
      </c>
      <c r="S3" s="24" t="s">
        <v>244</v>
      </c>
      <c r="T3" s="24" t="s">
        <v>243</v>
      </c>
      <c r="U3" s="24" t="s">
        <v>299</v>
      </c>
      <c r="V3" s="24" t="s">
        <v>242</v>
      </c>
      <c r="W3" s="24" t="s">
        <v>295</v>
      </c>
      <c r="X3" s="24" t="s">
        <v>296</v>
      </c>
      <c r="Y3" s="24" t="s">
        <v>297</v>
      </c>
      <c r="Z3" s="24" t="s">
        <v>258</v>
      </c>
      <c r="AA3" s="24" t="s">
        <v>259</v>
      </c>
      <c r="AB3" s="24" t="s">
        <v>260</v>
      </c>
      <c r="AC3" s="24" t="s">
        <v>261</v>
      </c>
      <c r="AD3" s="24" t="s">
        <v>262</v>
      </c>
      <c r="AE3" s="24" t="s">
        <v>263</v>
      </c>
      <c r="AF3" s="24" t="s">
        <v>264</v>
      </c>
      <c r="AG3" s="24" t="s">
        <v>265</v>
      </c>
      <c r="AH3" s="24" t="s">
        <v>266</v>
      </c>
      <c r="AI3" s="24" t="s">
        <v>267</v>
      </c>
      <c r="AJ3" s="24" t="s">
        <v>268</v>
      </c>
      <c r="AK3" s="24" t="s">
        <v>269</v>
      </c>
      <c r="AL3" s="24" t="s">
        <v>270</v>
      </c>
      <c r="AM3" s="24" t="s">
        <v>271</v>
      </c>
      <c r="AN3" s="24" t="s">
        <v>272</v>
      </c>
      <c r="AO3" s="24" t="s">
        <v>273</v>
      </c>
      <c r="AP3" s="24" t="s">
        <v>274</v>
      </c>
      <c r="AQ3" s="24" t="s">
        <v>275</v>
      </c>
      <c r="AR3" s="24" t="s">
        <v>276</v>
      </c>
      <c r="AS3" s="24" t="s">
        <v>277</v>
      </c>
      <c r="AT3" s="24" t="s">
        <v>278</v>
      </c>
      <c r="AU3" s="24" t="s">
        <v>279</v>
      </c>
      <c r="AV3" s="24" t="s">
        <v>206</v>
      </c>
      <c r="AW3" s="24" t="s">
        <v>208</v>
      </c>
      <c r="AX3" s="24" t="s">
        <v>209</v>
      </c>
      <c r="AY3" s="24" t="s">
        <v>210</v>
      </c>
      <c r="AZ3" s="24" t="s">
        <v>211</v>
      </c>
      <c r="BA3" s="24" t="s">
        <v>207</v>
      </c>
      <c r="BB3" s="24" t="s">
        <v>280</v>
      </c>
      <c r="BC3" s="24" t="s">
        <v>281</v>
      </c>
      <c r="BD3" s="24" t="s">
        <v>283</v>
      </c>
      <c r="BE3" s="24" t="s">
        <v>306</v>
      </c>
      <c r="BF3" s="24" t="s">
        <v>282</v>
      </c>
      <c r="BG3" s="24" t="s">
        <v>301</v>
      </c>
      <c r="BH3" s="24" t="s">
        <v>300</v>
      </c>
      <c r="BI3" s="24" t="s">
        <v>302</v>
      </c>
      <c r="BJ3" s="24" t="s">
        <v>284</v>
      </c>
      <c r="BK3" s="24" t="s">
        <v>303</v>
      </c>
      <c r="BL3" s="24" t="s">
        <v>304</v>
      </c>
      <c r="BM3" s="24" t="s">
        <v>305</v>
      </c>
      <c r="BN3" s="24" t="s">
        <v>285</v>
      </c>
      <c r="BO3" s="24" t="s">
        <v>286</v>
      </c>
      <c r="BP3" s="24" t="s">
        <v>287</v>
      </c>
      <c r="BQ3" s="24" t="s">
        <v>288</v>
      </c>
      <c r="BR3" s="24" t="s">
        <v>289</v>
      </c>
      <c r="BS3" s="24" t="s">
        <v>290</v>
      </c>
      <c r="BT3" s="24" t="s">
        <v>291</v>
      </c>
      <c r="BU3" s="24" t="s">
        <v>292</v>
      </c>
      <c r="BV3" s="24" t="s">
        <v>298</v>
      </c>
      <c r="BW3" s="24" t="s">
        <v>316</v>
      </c>
    </row>
    <row r="4" spans="1:75" x14ac:dyDescent="0.25">
      <c r="A4" s="29">
        <f>Таблица1[впечать]</f>
        <v>0</v>
      </c>
      <c r="B4" s="29">
        <f t="shared" ref="B4" si="0">IF(ISBLANK(_сформироватьАОСР),0,_сформироватьАОСР)</f>
        <v>0</v>
      </c>
      <c r="C4" t="str">
        <f t="shared" ref="C4" si="1">IF(ISBLANK(_объект_с1Реквизиты),"",(_объект_с1Реквизиты))</f>
        <v/>
      </c>
      <c r="D4" t="str">
        <f t="shared" ref="D4" si="2">IF(ISBLANK(_объект_с2Реквизиты),"",_объект_с2Реквизиты)</f>
        <v/>
      </c>
      <c r="E4" t="str">
        <f t="shared" ref="E4" si="3">IF(ISBLANK(_объект_с3Реквизиты),"",_объект_с3Реквизиты)</f>
        <v/>
      </c>
      <c r="F4" t="str">
        <f t="shared" ref="F4" si="4">IF(ISBLANK(_застройщик_с1реквизиты),"",_застройщик_с1реквизиты)</f>
        <v/>
      </c>
      <c r="G4" t="str">
        <f t="shared" ref="G4" si="5">IF(ISBLANK(_застройщик_с2реквизиты),"",_застройщик_с2реквизиты)</f>
        <v/>
      </c>
      <c r="H4" t="str">
        <f t="shared" ref="H4" si="6">IF(ISBLANK(_застройщик_с3реквизиты),"",_застройщик_с3реквизиты)</f>
        <v/>
      </c>
      <c r="I4" t="str">
        <f t="shared" ref="I4" si="7">IF(ISBLANK(_застройщик_с4реквизиты),"",_застройщик_с4реквизиты)</f>
        <v/>
      </c>
      <c r="J4" t="str">
        <f t="shared" ref="J4" si="8">IF(ISBLANK(_заказчик_с1реквизиты),"",_заказчик_с1реквизиты)</f>
        <v/>
      </c>
      <c r="K4" t="str">
        <f t="shared" ref="K4" si="9">IF(ISBLANK(_заказчик_с2реквизиты),"",_заказчик_с2реквизиты)</f>
        <v/>
      </c>
      <c r="L4" t="str">
        <f t="shared" ref="L4" si="10">IF(ISBLANK(_заказчик_с3реквизиты),"",_заказчик_с3реквизиты)</f>
        <v/>
      </c>
      <c r="M4" t="str">
        <f t="shared" ref="M4" si="11">IF(ISBLANK(_заказчик_с4реквизиты),"",_заказчик_с4реквизиты)</f>
        <v/>
      </c>
      <c r="N4" t="str">
        <f t="shared" ref="N4" si="12">IF(ISBLANK(_строитель_с1реквизиты),"",_строитель_с1реквизиты)</f>
        <v/>
      </c>
      <c r="O4" t="str">
        <f t="shared" ref="O4" si="13">IF(ISBLANK(_строитель_с2реквизиты),"",_строитель_с2реквизиты)</f>
        <v/>
      </c>
      <c r="P4" t="str">
        <f t="shared" ref="P4" si="14">IF(ISBLANK(_строитель_с3реквизиты),"",_строитель_с3реквизиты)</f>
        <v/>
      </c>
      <c r="Q4" t="str">
        <f t="shared" ref="Q4" si="15">IF(ISBLANK(_строитель_с4реквизиты),"",_строитель_с4реквизиты)</f>
        <v/>
      </c>
      <c r="R4" t="str">
        <f t="shared" ref="R4" si="16">IF(ISBLANK(_проектировщик_с1реквизиты),"",_проектировщик_с1реквизиты)</f>
        <v/>
      </c>
      <c r="S4" t="str">
        <f t="shared" ref="S4" si="17">IF(ISBLANK(_проектировщик_с2реквизиты),"",_проектировщик_с2реквизиты)</f>
        <v/>
      </c>
      <c r="T4" t="str">
        <f t="shared" ref="T4" si="18">IF(ISBLANK(_проектировщик_с3реквизиты),"",_проектировщик_с3реквизиты)</f>
        <v/>
      </c>
      <c r="U4" t="str">
        <f>IF(ISBLANK(_№ппАОСР),"",CONCATENATE(_№ппАОСР,IF(ISBLANK(_интервалАОСР),"","/"&amp;_интервалАОСР),IF(ISBLANK(_колодецАОСР),"","/"&amp;_колодецАОСР)))</f>
        <v>1</v>
      </c>
      <c r="V4" t="str">
        <f t="shared" ref="V4" si="19">IF(ISBLANK(_датаактаАОСР),"",TEXT(_датаактаАОСР,"ДД.ММ.ГГГГ"))</f>
        <v/>
      </c>
      <c r="W4" s="19" t="e">
        <f>IF(ISBLANK(V4),"",TEXT(DAY(V4),"ДД"))</f>
        <v>#VALUE!</v>
      </c>
      <c r="X4" s="19" t="e">
        <f>IF(ISBLANK(V4),"",IF(MONTH(V4)=1,"Января",IF(MONTH(V4)=2,"Февраля",IF(MONTH(V4)=3,"Марта",IF(MONTH(V4)=4,"Апреля",IF(MONTH(V4)=5,"Мая",IF(MONTH(V4)=6,"Июня",IF(MONTH(V4)=7,"Июля",IF(MONTH(V4)=8,"Августа",IF(MONTH(V4)=9,"Сентября",IF(MONTH(V4)=10,"Октября",IF(MONTH(V4)=11,"Ноября",IF(MONTH(V4)=12,"Декабря",)))))))))))))</f>
        <v>#VALUE!</v>
      </c>
      <c r="Y4" s="19" t="e">
        <f>IF(ISBLANK(V4),"",YEAR(V4))</f>
        <v>#VALUE!</v>
      </c>
      <c r="Z4" t="str">
        <f t="shared" ref="Z4" si="20">IF(ISBLANK(_п_заказчика_с1реквизиты),"",_п_заказчика_с1реквизиты)</f>
        <v/>
      </c>
      <c r="AA4" t="str">
        <f t="shared" ref="AA4" si="21">IF(ISBLANK(_п_заказчика_с2реквизиты),"",_п_заказчика_с2реквизиты)</f>
        <v/>
      </c>
      <c r="AB4" t="str">
        <f t="shared" ref="AB4" si="22">IF(ISBLANK(_п_заказчика_с3реквизиты),"",_п_заказчика_с3реквизиты)</f>
        <v/>
      </c>
      <c r="AC4" t="str">
        <f t="shared" ref="AC4" si="23">IF(ISBLANK(_п_заказчика_с4реквизиты),"",_п_заказчика_с4реквизиты)</f>
        <v/>
      </c>
      <c r="AD4" t="str">
        <f t="shared" ref="AD4" si="24">IF(ISBLANK(п_строителя_с1реквизиты),"",п_строителя_с1реквизиты)</f>
        <v>Начальник участка СУ ООО «КРОСТ-Д» Шевцов А.М., приказ № 1127 от 06.12.2023 г.</v>
      </c>
      <c r="AE4" t="str">
        <f t="shared" ref="AE4" si="25">IF(ISBLANK(п_строителя_с2реквизиты),"",п_строителя_с2реквизиты)</f>
        <v/>
      </c>
      <c r="AF4" t="str">
        <f t="shared" ref="AF4" si="26">IF(ISBLANK(п_строителя_с3реквизиты),"",п_строителя_с3реквизиты)</f>
        <v/>
      </c>
      <c r="AG4" t="str">
        <f t="shared" ref="AG4" si="27">IF(ISBLANK(п_строителя_с4реквизиты),"",п_строителя_с4реквизиты)</f>
        <v/>
      </c>
      <c r="AH4" t="str">
        <f t="shared" ref="AH4" si="28">IF(ISBLANK(_п_скстроителя_с1реквизиты),"",_п_скстроителя_с1реквизиты)</f>
        <v/>
      </c>
      <c r="AI4" t="str">
        <f t="shared" ref="AI4" si="29">IF(ISBLANK(_п_скстроителя_с2реквизиты),"",_п_скстроителя_с2реквизиты)</f>
        <v/>
      </c>
      <c r="AJ4" t="str">
        <f t="shared" ref="AJ4" si="30">IF(ISBLANK(_п_скстроителя_с3реквизиты),"",_п_скстроителя_с3реквизиты)</f>
        <v/>
      </c>
      <c r="AK4" t="str">
        <f t="shared" ref="AK4" si="31">IF(ISBLANK(_п_скстроителя_с4реквизиты),"",_п_скстроителя_с4реквизиты)</f>
        <v/>
      </c>
      <c r="AL4" t="str">
        <f t="shared" ref="AL4" si="32">IF(ISBLANK(_п_проектировщика_с1реквизиты),"",_п_проектировщика_с1реквизиты)</f>
        <v/>
      </c>
      <c r="AM4" t="str">
        <f t="shared" ref="AM4" si="33">IF(ISBLANK(_п_проектировщика_с2реквизиты),"",_п_проектировщика_с2реквизиты)</f>
        <v/>
      </c>
      <c r="AN4" t="str">
        <f t="shared" ref="AN4" si="34">IF(ISBLANK(_п_проектировщика_с3реквизиты),"",_п_проектировщика_с3реквизиты)</f>
        <v/>
      </c>
      <c r="AO4" t="str">
        <f t="shared" ref="AO4" si="35">IF(ISBLANK(_п_проектировщика_с4реквизиты),"",_п_проектировщика_с4реквизиты)</f>
        <v/>
      </c>
      <c r="AP4" t="str">
        <f t="shared" ref="AP4" si="36">IF(ISBLANK(_п_выполн_с1реквизиты),"",_п_выполн_с1реквизиты)</f>
        <v/>
      </c>
      <c r="AQ4" t="str">
        <f t="shared" ref="AQ4" si="37">IF(ISBLANK(_п_выполн_с2реквизиты),"",_п_выполн_с2реквизиты)</f>
        <v/>
      </c>
      <c r="AR4" t="str">
        <f t="shared" ref="AR4" si="38">IF(ISBLANK(_п_выполн_с3реквизиты),"",_п_выполн_с3реквизиты)</f>
        <v/>
      </c>
      <c r="AS4" t="str">
        <f t="shared" ref="AS4" si="39">IF(ISBLANK(_п_выполн_с4реквизиты),"",_п_выполн_с4реквизиты)</f>
        <v/>
      </c>
      <c r="AT4" t="str">
        <f t="shared" ref="AT4" si="40">IF(ISBLANK(_иные_реквизиты),"",_иные_реквизиты)</f>
        <v/>
      </c>
      <c r="AU4" t="str">
        <f t="shared" ref="AU4" si="41">IF(ISBLANK(_компания_реквизиты),"",_компания_реквизиты)</f>
        <v/>
      </c>
      <c r="AV4" t="str">
        <f t="shared" ref="AV4" si="42">_видработАОСР</f>
        <v xml:space="preserve">Разработка грунта </v>
      </c>
      <c r="AW4">
        <f t="shared" ref="AW4" si="43">_интервалАОСР</f>
        <v>0</v>
      </c>
      <c r="AX4">
        <f t="shared" ref="AX4" si="44">_колодецАОСР</f>
        <v>0</v>
      </c>
      <c r="AY4">
        <f t="shared" ref="AY4" si="45">_количествоАОСР</f>
        <v>0</v>
      </c>
      <c r="AZ4">
        <f t="shared" ref="AZ4" si="46">_ед.измерАОСР</f>
        <v>0</v>
      </c>
      <c r="BA4" t="str">
        <f>CONCATENATE(IF(AV4=0,"",AV4),IF(AW4=0,""," "&amp;АОСР[[#Headers],[в интервале]]&amp;" "&amp;AW4),IF(AX4=0,""," "&amp;АОСР[[#Headers],[колодцев]]&amp;" "&amp;AX4),IF(AY4=0,""," ("&amp;AY4),IF(AZ4=0,""," "&amp;AZ4&amp;")"),IF(OR(AV4=0,AY4&lt;&gt;0,AZ4&lt;&gt;0),")",""))</f>
        <v xml:space="preserve">Разработка грунта </v>
      </c>
      <c r="BB4" t="str">
        <f t="shared" ref="BB4" si="47">IF(ISBLANK(_проект_реквизиты),"",_проект_реквизиты)</f>
        <v/>
      </c>
      <c r="BC4" t="str">
        <f t="shared" ref="BC4" si="48">IF(ISBLANK(_материалыАОСР),"",_материалыАОСР)</f>
        <v/>
      </c>
      <c r="BD4" t="str">
        <f t="shared" ref="BD4:BE4" si="49">CONCATENATE(IF(ISBLANK(_чертежиАОСР),"",_чертежиАОСР),IF(ISBLANK(_протоколыАОСР),"","; "&amp;_протоколыАОСР),IF(ISBLANK(_протоколы28АОСР),"","; "&amp;_протоколы28АОСР),IF(ISBLANK(_заключенияАОСР),"","; "&amp;_заключенияАОСР))</f>
        <v/>
      </c>
      <c r="BE4" t="str">
        <f t="shared" si="49"/>
        <v/>
      </c>
      <c r="BF4" t="str">
        <f t="shared" ref="BF4" si="50">IF(ISBLANK(_датаначалаАОСР),"",TEXT(_датаначалаАОСР,"ДД.ММ.ГГГГ"))</f>
        <v/>
      </c>
      <c r="BG4" s="19" t="e">
        <f>IF(ISBLANK(BF4),"",TEXT(DAY(BF4),"ДД"))</f>
        <v>#VALUE!</v>
      </c>
      <c r="BH4" s="19" t="e">
        <f>IF(ISBLANK(BF4),"",IF(MONTH(BF4)=1,"Января",IF(MONTH(BF4)=2,"Февраля",IF(MONTH(BF4)=3,"Марта",IF(MONTH(BF4)=4,"Апреля",IF(MONTH(BF4)=5,"Мая",IF(MONTH(BF4)=6,"Июня",IF(MONTH(BF4)=7,"Июля",IF(MONTH(BF4)=8,"Августа",IF(MONTH(BF4)=9,"Сентября",IF(MONTH(BF4)=10,"Октября",IF(MONTH(BF4)=11,"Ноября",IF(MONTH(BF4)=12,"Декабря",)))))))))))))</f>
        <v>#VALUE!</v>
      </c>
      <c r="BI4" s="19" t="e">
        <f>IF(ISBLANK(BF4),"",YEAR(BF4))</f>
        <v>#VALUE!</v>
      </c>
      <c r="BJ4" t="str">
        <f t="shared" ref="BJ4" si="51">IF(ISBLANK(_датаокончанияАОСР),"",TEXT(_датаокончанияАОСР,"ДД.ММ.ГГГГ"))</f>
        <v/>
      </c>
      <c r="BK4" s="19" t="e">
        <f>IF(ISBLANK(BJ4),"",TEXT(DAY(BJ4),"ДД"))</f>
        <v>#VALUE!</v>
      </c>
      <c r="BL4" s="19" t="e">
        <f>IF(ISBLANK(BJ4),"",IF(MONTH(BJ4)=1,"Января",IF(MONTH(BJ4)=2,"Февраля",IF(MONTH(BJ4)=3,"Марта",IF(MONTH(BJ4)=4,"Апреля",IF(MONTH(BJ4)=5,"Мая",IF(MONTH(BJ4)=6,"Июня",IF(MONTH(BJ4)=7,"Июля",IF(MONTH(BJ4)=8,"Августа",IF(MONTH(BJ4)=9,"Сентября",IF(MONTH(BJ4)=10,"Октября",IF(MONTH(BJ4)=11,"Ноября",IF(MONTH(BJ4)=12,"Декабря",)))))))))))))</f>
        <v>#VALUE!</v>
      </c>
      <c r="BM4" s="19" t="e">
        <f>IF(ISBLANK(BJ4),"",YEAR(BJ4))</f>
        <v>#VALUE!</v>
      </c>
      <c r="BN4" t="str">
        <f>IF(ISBLANK(_всоответствии_реквизиты),"",CONCATENATE(_всоответствии_реквизиты,IF(ISBLANK(АОСР[СНИП]),"","; "&amp;АОСР[СНИП])))</f>
        <v/>
      </c>
      <c r="BO4" t="str">
        <f t="shared" ref="BO4" si="52">IF(ISBLANK(_последующиеАОСР),"",_последующиеАОСР)</f>
        <v/>
      </c>
      <c r="BP4" t="str">
        <f t="shared" ref="BP4" si="53">IF(ISBLANK(_подписьзаказчика_реквизиты),"",_подписьзаказчика_реквизиты)</f>
        <v/>
      </c>
      <c r="BQ4" t="str">
        <f t="shared" ref="BQ4" si="54">IF(ISBLANK(_подписьстроителя_реквизиты),"",_подписьстроителя_реквизиты)</f>
        <v/>
      </c>
      <c r="BR4" t="str">
        <f t="shared" ref="BR4" si="55">IF(ISBLANK(_подписьскстроителя_реквизиты),"",_подписьскстроителя_реквизиты)</f>
        <v/>
      </c>
      <c r="BS4" t="str">
        <f t="shared" ref="BS4" si="56">IF(ISBLANK(_подписьпроектировщика_реквизиты),"",_подписьпроектировщика_реквизиты)</f>
        <v/>
      </c>
      <c r="BT4" t="str">
        <f t="shared" ref="BT4" si="57">IF(ISBLANK(_подписьвыполнившего_реквизиты),"",_подписьвыполнившего_реквизиты)</f>
        <v/>
      </c>
      <c r="BU4" t="str">
        <f t="shared" ref="BU4" si="58">IF(ISBLANK(_подписьиные_реквизиты),"",_подписьиные_реквизиты)</f>
        <v/>
      </c>
      <c r="BV4" t="str">
        <f>IF(LEN(Таблица1[Накта])&gt;60,
    LEFT(Таблица1[Накта],30),
    Таблица1[Накта])</f>
        <v>1</v>
      </c>
      <c r="BW4" t="str">
        <f>IF(ISBLANK(_№ппАОСР),"",_№ппАОСР)</f>
        <v/>
      </c>
    </row>
    <row r="5" spans="1:75" x14ac:dyDescent="0.25">
      <c r="A5" s="29">
        <f>Таблица1[впечать]</f>
        <v>0</v>
      </c>
      <c r="B5" s="29">
        <f t="shared" ref="B5:B40" si="59">IF(ISBLANK(_сформироватьАОСР),0,_сформироватьАОСР)</f>
        <v>0</v>
      </c>
      <c r="C5" t="str">
        <f t="shared" ref="C5:C40" si="60">IF(ISBLANK(_объект_с1Реквизиты),"",(_объект_с1Реквизиты))</f>
        <v/>
      </c>
      <c r="D5" t="str">
        <f t="shared" ref="D5:D40" si="61">IF(ISBLANK(_объект_с2Реквизиты),"",_объект_с2Реквизиты)</f>
        <v/>
      </c>
      <c r="E5" t="str">
        <f t="shared" ref="E5:E40" si="62">IF(ISBLANK(_объект_с3Реквизиты),"",_объект_с3Реквизиты)</f>
        <v/>
      </c>
      <c r="F5" t="str">
        <f t="shared" ref="F5:F40" si="63">IF(ISBLANK(_застройщик_с1реквизиты),"",_застройщик_с1реквизиты)</f>
        <v/>
      </c>
      <c r="G5" t="str">
        <f t="shared" ref="G5:G40" si="64">IF(ISBLANK(_застройщик_с2реквизиты),"",_застройщик_с2реквизиты)</f>
        <v/>
      </c>
      <c r="H5" t="str">
        <f t="shared" ref="H5:H40" si="65">IF(ISBLANK(_застройщик_с3реквизиты),"",_застройщик_с3реквизиты)</f>
        <v/>
      </c>
      <c r="I5" t="str">
        <f t="shared" ref="I5:I40" si="66">IF(ISBLANK(_застройщик_с4реквизиты),"",_застройщик_с4реквизиты)</f>
        <v/>
      </c>
      <c r="J5" t="str">
        <f t="shared" ref="J5:J40" si="67">IF(ISBLANK(_заказчик_с1реквизиты),"",_заказчик_с1реквизиты)</f>
        <v/>
      </c>
      <c r="K5" t="str">
        <f t="shared" ref="K5:K40" si="68">IF(ISBLANK(_заказчик_с2реквизиты),"",_заказчик_с2реквизиты)</f>
        <v/>
      </c>
      <c r="L5" t="str">
        <f t="shared" ref="L5:L40" si="69">IF(ISBLANK(_заказчик_с3реквизиты),"",_заказчик_с3реквизиты)</f>
        <v/>
      </c>
      <c r="M5" t="str">
        <f t="shared" ref="M5:M40" si="70">IF(ISBLANK(_заказчик_с4реквизиты),"",_заказчик_с4реквизиты)</f>
        <v/>
      </c>
      <c r="N5" t="str">
        <f t="shared" ref="N5:N40" si="71">IF(ISBLANK(_строитель_с1реквизиты),"",_строитель_с1реквизиты)</f>
        <v/>
      </c>
      <c r="O5" t="str">
        <f t="shared" ref="O5:O40" si="72">IF(ISBLANK(_строитель_с2реквизиты),"",_строитель_с2реквизиты)</f>
        <v/>
      </c>
      <c r="P5" t="str">
        <f t="shared" ref="P5:P40" si="73">IF(ISBLANK(_строитель_с3реквизиты),"",_строитель_с3реквизиты)</f>
        <v/>
      </c>
      <c r="Q5" t="str">
        <f t="shared" ref="Q5:Q40" si="74">IF(ISBLANK(_строитель_с4реквизиты),"",_строитель_с4реквизиты)</f>
        <v/>
      </c>
      <c r="R5" t="str">
        <f t="shared" ref="R5:R40" si="75">IF(ISBLANK(_проектировщик_с1реквизиты),"",_проектировщик_с1реквизиты)</f>
        <v/>
      </c>
      <c r="S5" t="str">
        <f t="shared" ref="S5:S40" si="76">IF(ISBLANK(_проектировщик_с2реквизиты),"",_проектировщик_с2реквизиты)</f>
        <v/>
      </c>
      <c r="T5" t="str">
        <f t="shared" ref="T5:T40" si="77">IF(ISBLANK(_проектировщик_с3реквизиты),"",_проектировщик_с3реквизиты)</f>
        <v/>
      </c>
      <c r="U5" t="str">
        <f t="shared" ref="U5:U40" si="78">IF(ISBLANK(_№ппАОСР),"",CONCATENATE(_№ппАОСР,IF(ISBLANK(_интервалАОСР),"","/"&amp;_интервалАОСР)))</f>
        <v/>
      </c>
      <c r="V5" t="str">
        <f t="shared" ref="V5:V40" si="79">IF(ISBLANK(_датаактаАОСР),"",TEXT(_датаактаАОСР,"ДД.ММ.ГГГГ"))</f>
        <v/>
      </c>
      <c r="W5" s="19" t="e">
        <f t="shared" ref="W5:W40" si="80">IF(ISBLANK(V5),"",TEXT(DAY(V5),"ДД"))</f>
        <v>#VALUE!</v>
      </c>
      <c r="X5" s="19" t="e">
        <f t="shared" ref="X5:X40" si="81">IF(ISBLANK(V5),"",IF(MONTH(V5)=1,"Января",IF(MONTH(V5)=2,"Февраля",IF(MONTH(V5)=3,"Марта",IF(MONTH(V5)=4,"Апреля",IF(MONTH(V5)=5,"Мая",IF(MONTH(V5)=6,"Июня",IF(MONTH(V5)=7,"Июля",IF(MONTH(V5)=8,"Августа",IF(MONTH(V5)=9,"Сентября",IF(MONTH(V5)=10,"Октября",IF(MONTH(V5)=11,"Ноября",IF(MONTH(V5)=12,"Декабря",)))))))))))))</f>
        <v>#VALUE!</v>
      </c>
      <c r="Y5" s="19" t="e">
        <f t="shared" ref="Y5:Y40" si="82">IF(ISBLANK(V5),"",YEAR(V5))</f>
        <v>#VALUE!</v>
      </c>
      <c r="Z5" t="str">
        <f t="shared" ref="Z5:Z40" si="83">IF(ISBLANK(_п_заказчика_с1реквизиты),"",_п_заказчика_с1реквизиты)</f>
        <v/>
      </c>
      <c r="AA5" t="str">
        <f t="shared" ref="AA5:AA40" si="84">IF(ISBLANK(_п_заказчика_с2реквизиты),"",_п_заказчика_с2реквизиты)</f>
        <v/>
      </c>
      <c r="AB5" t="str">
        <f t="shared" ref="AB5:AB40" si="85">IF(ISBLANK(_п_заказчика_с3реквизиты),"",_п_заказчика_с3реквизиты)</f>
        <v/>
      </c>
      <c r="AC5" t="str">
        <f t="shared" ref="AC5:AC40" si="86">IF(ISBLANK(_п_заказчика_с4реквизиты),"",_п_заказчика_с4реквизиты)</f>
        <v/>
      </c>
      <c r="AD5" t="str">
        <f t="shared" ref="AD5:AD40" si="87">IF(ISBLANK(п_строителя_с1реквизиты),"",п_строителя_с1реквизиты)</f>
        <v>Начальник участка СУ ООО «КРОСТ-Д» Шевцов А.М., приказ № 1127 от 06.12.2023 г.</v>
      </c>
      <c r="AE5" t="str">
        <f t="shared" ref="AE5:AE40" si="88">IF(ISBLANK(п_строителя_с2реквизиты),"",п_строителя_с2реквизиты)</f>
        <v/>
      </c>
      <c r="AF5" t="str">
        <f t="shared" ref="AF5:AF40" si="89">IF(ISBLANK(п_строителя_с3реквизиты),"",п_строителя_с3реквизиты)</f>
        <v/>
      </c>
      <c r="AG5" t="str">
        <f t="shared" ref="AG5:AG40" si="90">IF(ISBLANK(п_строителя_с4реквизиты),"",п_строителя_с4реквизиты)</f>
        <v/>
      </c>
      <c r="AH5" t="str">
        <f t="shared" ref="AH5:AH40" si="91">IF(ISBLANK(_п_скстроителя_с1реквизиты),"",_п_скстроителя_с1реквизиты)</f>
        <v/>
      </c>
      <c r="AI5" t="str">
        <f t="shared" ref="AI5:AI40" si="92">IF(ISBLANK(_п_скстроителя_с2реквизиты),"",_п_скстроителя_с2реквизиты)</f>
        <v/>
      </c>
      <c r="AJ5" t="str">
        <f t="shared" ref="AJ5:AJ40" si="93">IF(ISBLANK(_п_скстроителя_с3реквизиты),"",_п_скстроителя_с3реквизиты)</f>
        <v/>
      </c>
      <c r="AK5" t="str">
        <f t="shared" ref="AK5:AK40" si="94">IF(ISBLANK(_п_скстроителя_с4реквизиты),"",_п_скстроителя_с4реквизиты)</f>
        <v/>
      </c>
      <c r="AL5" t="str">
        <f t="shared" ref="AL5:AL40" si="95">IF(ISBLANK(_п_проектировщика_с1реквизиты),"",_п_проектировщика_с1реквизиты)</f>
        <v/>
      </c>
      <c r="AM5" t="str">
        <f t="shared" ref="AM5:AM40" si="96">IF(ISBLANK(_п_проектировщика_с2реквизиты),"",_п_проектировщика_с2реквизиты)</f>
        <v/>
      </c>
      <c r="AN5" t="str">
        <f t="shared" ref="AN5:AN40" si="97">IF(ISBLANK(_п_проектировщика_с3реквизиты),"",_п_проектировщика_с3реквизиты)</f>
        <v/>
      </c>
      <c r="AO5" t="str">
        <f t="shared" ref="AO5:AO40" si="98">IF(ISBLANK(_п_проектировщика_с4реквизиты),"",_п_проектировщика_с4реквизиты)</f>
        <v/>
      </c>
      <c r="AP5" t="str">
        <f t="shared" ref="AP5:AP40" si="99">IF(ISBLANK(_п_выполн_с1реквизиты),"",_п_выполн_с1реквизиты)</f>
        <v/>
      </c>
      <c r="AQ5" t="str">
        <f t="shared" ref="AQ5:AQ40" si="100">IF(ISBLANK(_п_выполн_с2реквизиты),"",_п_выполн_с2реквизиты)</f>
        <v/>
      </c>
      <c r="AR5" t="str">
        <f t="shared" ref="AR5:AR40" si="101">IF(ISBLANK(_п_выполн_с3реквизиты),"",_п_выполн_с3реквизиты)</f>
        <v/>
      </c>
      <c r="AS5" t="str">
        <f t="shared" ref="AS5:AS40" si="102">IF(ISBLANK(_п_выполн_с4реквизиты),"",_п_выполн_с4реквизиты)</f>
        <v/>
      </c>
      <c r="AT5" t="str">
        <f t="shared" ref="AT5:AT40" si="103">IF(ISBLANK(_иные_реквизиты),"",_иные_реквизиты)</f>
        <v/>
      </c>
      <c r="AU5" t="str">
        <f t="shared" ref="AU5:AU40" si="104">IF(ISBLANK(_компания_реквизиты),"",_компания_реквизиты)</f>
        <v/>
      </c>
      <c r="AV5">
        <f t="shared" ref="AV5:AV40" si="105">_видработАОСР</f>
        <v>0</v>
      </c>
      <c r="AW5">
        <f t="shared" ref="AW5:AW40" si="106">_интервалАОСР</f>
        <v>0</v>
      </c>
      <c r="AX5">
        <f t="shared" ref="AX5:AX40" si="107">_колодецАОСР</f>
        <v>0</v>
      </c>
      <c r="AY5">
        <f t="shared" ref="AY5:AY40" si="108">_количествоАОСР</f>
        <v>0</v>
      </c>
      <c r="AZ5">
        <f t="shared" ref="AZ5:AZ40" si="109">_ед.измерАОСР</f>
        <v>0</v>
      </c>
      <c r="BA5" t="str">
        <f>CONCATENATE(IF(AV5=0,"",AV5),IF(AW5=0,""," "&amp;АОСР[[#Headers],[в интервале]]&amp;" "&amp;AW5),IF(AX5=0,""," "&amp;АОСР[[#Headers],[колодцев]]&amp;" "&amp;AX5),IF(AY5=0,""," ("&amp;AY5),IF(AZ5=0,""," "&amp;AZ5&amp;")"),IF(OR(AV5=0,AY5&lt;&gt;0,AZ5&lt;&gt;0),")",""))</f>
        <v>)</v>
      </c>
      <c r="BB5" t="str">
        <f t="shared" ref="BB5:BB40" si="110">IF(ISBLANK(_проект_реквизиты),"",_проект_реквизиты)</f>
        <v/>
      </c>
      <c r="BC5" t="str">
        <f t="shared" ref="BC5:BC40" si="111">IF(ISBLANK(_материалыАОСР),"",_материалыАОСР)</f>
        <v/>
      </c>
      <c r="BD5" t="str">
        <f t="shared" ref="BD5:BE24" si="112">CONCATENATE(IF(ISBLANK(_чертежиАОСР),"",_чертежиАОСР),IF(ISBLANK(_протоколыАОСР),"","; "&amp;_протоколыАОСР),IF(ISBLANK(_протоколы28АОСР),"","; "&amp;_протоколы28АОСР),IF(ISBLANK(_заключенияАОСР),"","; "&amp;_заключенияАОСР))</f>
        <v/>
      </c>
      <c r="BE5" t="str">
        <f t="shared" si="112"/>
        <v/>
      </c>
      <c r="BF5" t="str">
        <f t="shared" ref="BF5:BF40" si="113">IF(ISBLANK(_датаначалаАОСР),"",TEXT(_датаначалаАОСР,"ДД.ММ.ГГГГ"))</f>
        <v/>
      </c>
      <c r="BG5" s="19" t="e">
        <f t="shared" ref="BG5:BG40" si="114">IF(ISBLANK(BF5),"",TEXT(DAY(BF5),"ДД"))</f>
        <v>#VALUE!</v>
      </c>
      <c r="BH5" s="19" t="e">
        <f t="shared" ref="BH5:BH40" si="115">IF(ISBLANK(BF5),"",IF(MONTH(BF5)=1,"Января",IF(MONTH(BF5)=2,"Февраля",IF(MONTH(BF5)=3,"Марта",IF(MONTH(BF5)=4,"Апреля",IF(MONTH(BF5)=5,"Мая",IF(MONTH(BF5)=6,"Июня",IF(MONTH(BF5)=7,"Июля",IF(MONTH(BF5)=8,"Августа",IF(MONTH(BF5)=9,"Сентября",IF(MONTH(BF5)=10,"Октября",IF(MONTH(BF5)=11,"Ноября",IF(MONTH(BF5)=12,"Декабря",)))))))))))))</f>
        <v>#VALUE!</v>
      </c>
      <c r="BI5" s="19" t="e">
        <f t="shared" ref="BI5:BI40" si="116">IF(ISBLANK(BF5),"",YEAR(BF5))</f>
        <v>#VALUE!</v>
      </c>
      <c r="BJ5" t="str">
        <f t="shared" ref="BJ5:BJ40" si="117">IF(ISBLANK(_датаокончанияАОСР),"",TEXT(_датаокончанияАОСР,"ДД.ММ.ГГГГ"))</f>
        <v/>
      </c>
      <c r="BK5" s="19" t="e">
        <f t="shared" ref="BK5:BK40" si="118">IF(ISBLANK(BJ5),"",TEXT(DAY(BJ5),"ДД"))</f>
        <v>#VALUE!</v>
      </c>
      <c r="BL5" s="19" t="e">
        <f t="shared" ref="BL5:BL40" si="119">IF(ISBLANK(BJ5),"",IF(MONTH(BJ5)=1,"Января",IF(MONTH(BJ5)=2,"Февраля",IF(MONTH(BJ5)=3,"Марта",IF(MONTH(BJ5)=4,"Апреля",IF(MONTH(BJ5)=5,"Мая",IF(MONTH(BJ5)=6,"Июня",IF(MONTH(BJ5)=7,"Июля",IF(MONTH(BJ5)=8,"Августа",IF(MONTH(BJ5)=9,"Сентября",IF(MONTH(BJ5)=10,"Октября",IF(MONTH(BJ5)=11,"Ноября",IF(MONTH(BJ5)=12,"Декабря",)))))))))))))</f>
        <v>#VALUE!</v>
      </c>
      <c r="BM5" s="19" t="e">
        <f t="shared" ref="BM5:BM40" si="120">IF(ISBLANK(BJ5),"",YEAR(BJ5))</f>
        <v>#VALUE!</v>
      </c>
      <c r="BN5" t="str">
        <f>IF(ISBLANK(_всоответствии_реквизиты),"",CONCATENATE(_всоответствии_реквизиты,IF(ISBLANK(АОСР[СНИП]),"","; "&amp;АОСР[СНИП])))</f>
        <v/>
      </c>
      <c r="BO5" t="str">
        <f t="shared" ref="BO5:BO40" si="121">IF(ISBLANK(_последующиеАОСР),"",_последующиеАОСР)</f>
        <v/>
      </c>
      <c r="BP5" t="str">
        <f t="shared" ref="BP5:BP40" si="122">IF(ISBLANK(_подписьзаказчика_реквизиты),"",_подписьзаказчика_реквизиты)</f>
        <v/>
      </c>
      <c r="BQ5" t="str">
        <f t="shared" ref="BQ5:BQ40" si="123">IF(ISBLANK(_подписьстроителя_реквизиты),"",_подписьстроителя_реквизиты)</f>
        <v/>
      </c>
      <c r="BR5" t="str">
        <f t="shared" ref="BR5:BR40" si="124">IF(ISBLANK(_подписьскстроителя_реквизиты),"",_подписьскстроителя_реквизиты)</f>
        <v/>
      </c>
      <c r="BS5" t="str">
        <f t="shared" ref="BS5:BS40" si="125">IF(ISBLANK(_подписьпроектировщика_реквизиты),"",_подписьпроектировщика_реквизиты)</f>
        <v/>
      </c>
      <c r="BT5" t="str">
        <f t="shared" ref="BT5:BT40" si="126">IF(ISBLANK(_подписьвыполнившего_реквизиты),"",_подписьвыполнившего_реквизиты)</f>
        <v/>
      </c>
      <c r="BU5" t="str">
        <f t="shared" ref="BU5:BU40" si="127">IF(ISBLANK(_подписьиные_реквизиты),"",_подписьиные_реквизиты)</f>
        <v/>
      </c>
      <c r="BV5" t="str">
        <f>IF(LEN(Таблица1[Накта])&gt;60,
    LEFT(Таблица1[Накта],30),
    Таблица1[Накта])</f>
        <v/>
      </c>
      <c r="BW5" t="str">
        <f>IF(ISBLANK(_№ппАОСР),"",_№ппАОСР)</f>
        <v/>
      </c>
    </row>
    <row r="6" spans="1:75" x14ac:dyDescent="0.25">
      <c r="A6" s="29">
        <f>Таблица1[впечать]</f>
        <v>0</v>
      </c>
      <c r="B6" s="29">
        <f t="shared" si="59"/>
        <v>0</v>
      </c>
      <c r="C6" t="str">
        <f t="shared" si="60"/>
        <v/>
      </c>
      <c r="D6" t="str">
        <f t="shared" si="61"/>
        <v/>
      </c>
      <c r="E6" t="str">
        <f t="shared" si="62"/>
        <v/>
      </c>
      <c r="F6" t="str">
        <f t="shared" si="63"/>
        <v/>
      </c>
      <c r="G6" t="str">
        <f t="shared" si="64"/>
        <v/>
      </c>
      <c r="H6" t="str">
        <f t="shared" si="65"/>
        <v/>
      </c>
      <c r="I6" t="str">
        <f t="shared" si="66"/>
        <v/>
      </c>
      <c r="J6" t="str">
        <f t="shared" si="67"/>
        <v/>
      </c>
      <c r="K6" t="str">
        <f t="shared" si="68"/>
        <v/>
      </c>
      <c r="L6" t="str">
        <f t="shared" si="69"/>
        <v/>
      </c>
      <c r="M6" t="str">
        <f t="shared" si="70"/>
        <v/>
      </c>
      <c r="N6" t="str">
        <f t="shared" si="71"/>
        <v/>
      </c>
      <c r="O6" t="str">
        <f t="shared" si="72"/>
        <v/>
      </c>
      <c r="P6" t="str">
        <f t="shared" si="73"/>
        <v/>
      </c>
      <c r="Q6" t="str">
        <f t="shared" si="74"/>
        <v/>
      </c>
      <c r="R6" t="str">
        <f t="shared" si="75"/>
        <v/>
      </c>
      <c r="S6" t="str">
        <f t="shared" si="76"/>
        <v/>
      </c>
      <c r="T6" t="str">
        <f t="shared" si="77"/>
        <v/>
      </c>
      <c r="U6" t="str">
        <f t="shared" si="78"/>
        <v/>
      </c>
      <c r="V6" t="str">
        <f t="shared" si="79"/>
        <v/>
      </c>
      <c r="W6" s="19" t="e">
        <f t="shared" si="80"/>
        <v>#VALUE!</v>
      </c>
      <c r="X6" s="19" t="e">
        <f t="shared" si="81"/>
        <v>#VALUE!</v>
      </c>
      <c r="Y6" s="19" t="e">
        <f t="shared" si="82"/>
        <v>#VALUE!</v>
      </c>
      <c r="Z6" t="str">
        <f t="shared" si="83"/>
        <v/>
      </c>
      <c r="AA6" t="str">
        <f t="shared" si="84"/>
        <v/>
      </c>
      <c r="AB6" t="str">
        <f t="shared" si="85"/>
        <v/>
      </c>
      <c r="AC6" t="str">
        <f t="shared" si="86"/>
        <v/>
      </c>
      <c r="AD6" t="str">
        <f t="shared" si="87"/>
        <v>Начальник участка СУ ООО «КРОСТ-Д» Шевцов А.М., приказ № 1127 от 06.12.2023 г.</v>
      </c>
      <c r="AE6" t="str">
        <f t="shared" si="88"/>
        <v/>
      </c>
      <c r="AF6" t="str">
        <f t="shared" si="89"/>
        <v/>
      </c>
      <c r="AG6" t="str">
        <f t="shared" si="90"/>
        <v/>
      </c>
      <c r="AH6" t="str">
        <f t="shared" si="91"/>
        <v/>
      </c>
      <c r="AI6" t="str">
        <f t="shared" si="92"/>
        <v/>
      </c>
      <c r="AJ6" t="str">
        <f t="shared" si="93"/>
        <v/>
      </c>
      <c r="AK6" t="str">
        <f t="shared" si="94"/>
        <v/>
      </c>
      <c r="AL6" t="str">
        <f t="shared" si="95"/>
        <v/>
      </c>
      <c r="AM6" t="str">
        <f t="shared" si="96"/>
        <v/>
      </c>
      <c r="AN6" t="str">
        <f t="shared" si="97"/>
        <v/>
      </c>
      <c r="AO6" t="str">
        <f t="shared" si="98"/>
        <v/>
      </c>
      <c r="AP6" t="str">
        <f t="shared" si="99"/>
        <v/>
      </c>
      <c r="AQ6" t="str">
        <f t="shared" si="100"/>
        <v/>
      </c>
      <c r="AR6" t="str">
        <f t="shared" si="101"/>
        <v/>
      </c>
      <c r="AS6" t="str">
        <f t="shared" si="102"/>
        <v/>
      </c>
      <c r="AT6" t="str">
        <f t="shared" si="103"/>
        <v/>
      </c>
      <c r="AU6" t="str">
        <f t="shared" si="104"/>
        <v/>
      </c>
      <c r="AV6">
        <f t="shared" si="105"/>
        <v>0</v>
      </c>
      <c r="AW6">
        <f t="shared" si="106"/>
        <v>0</v>
      </c>
      <c r="AX6">
        <f t="shared" si="107"/>
        <v>0</v>
      </c>
      <c r="AY6">
        <f t="shared" si="108"/>
        <v>0</v>
      </c>
      <c r="AZ6">
        <f t="shared" si="109"/>
        <v>0</v>
      </c>
      <c r="BA6" t="str">
        <f>CONCATENATE(IF(AV6=0,"",AV6),IF(AW6=0,""," "&amp;АОСР[[#Headers],[в интервале]]&amp;" "&amp;AW6),IF(AX6=0,""," "&amp;АОСР[[#Headers],[колодцев]]&amp;" "&amp;AX6),IF(AY6=0,""," ("&amp;AY6),IF(AZ6=0,""," "&amp;AZ6&amp;")"),IF(OR(AV6=0,AY6&lt;&gt;0,AZ6&lt;&gt;0),")",""))</f>
        <v>)</v>
      </c>
      <c r="BB6" t="str">
        <f t="shared" si="110"/>
        <v/>
      </c>
      <c r="BC6" t="str">
        <f t="shared" si="111"/>
        <v/>
      </c>
      <c r="BD6" t="str">
        <f t="shared" si="112"/>
        <v/>
      </c>
      <c r="BE6" t="str">
        <f t="shared" si="112"/>
        <v/>
      </c>
      <c r="BF6" t="str">
        <f t="shared" si="113"/>
        <v/>
      </c>
      <c r="BG6" s="19" t="e">
        <f t="shared" si="114"/>
        <v>#VALUE!</v>
      </c>
      <c r="BH6" s="19" t="e">
        <f t="shared" si="115"/>
        <v>#VALUE!</v>
      </c>
      <c r="BI6" s="19" t="e">
        <f t="shared" si="116"/>
        <v>#VALUE!</v>
      </c>
      <c r="BJ6" t="str">
        <f t="shared" si="117"/>
        <v/>
      </c>
      <c r="BK6" s="19" t="e">
        <f t="shared" si="118"/>
        <v>#VALUE!</v>
      </c>
      <c r="BL6" s="19" t="e">
        <f t="shared" si="119"/>
        <v>#VALUE!</v>
      </c>
      <c r="BM6" s="19" t="e">
        <f t="shared" si="120"/>
        <v>#VALUE!</v>
      </c>
      <c r="BN6" t="str">
        <f>IF(ISBLANK(_всоответствии_реквизиты),"",CONCATENATE(_всоответствии_реквизиты,IF(ISBLANK(АОСР[СНИП]),"","; "&amp;АОСР[СНИП])))</f>
        <v/>
      </c>
      <c r="BO6" t="str">
        <f t="shared" si="121"/>
        <v/>
      </c>
      <c r="BP6" t="str">
        <f t="shared" si="122"/>
        <v/>
      </c>
      <c r="BQ6" t="str">
        <f t="shared" si="123"/>
        <v/>
      </c>
      <c r="BR6" t="str">
        <f t="shared" si="124"/>
        <v/>
      </c>
      <c r="BS6" t="str">
        <f t="shared" si="125"/>
        <v/>
      </c>
      <c r="BT6" t="str">
        <f t="shared" si="126"/>
        <v/>
      </c>
      <c r="BU6" t="str">
        <f t="shared" si="127"/>
        <v/>
      </c>
      <c r="BV6" t="str">
        <f>IF(LEN(Таблица1[Накта])&gt;60,
    LEFT(Таблица1[Накта],30),
    Таблица1[Накта])</f>
        <v/>
      </c>
      <c r="BW6" t="str">
        <f>IF(ISBLANK(_№ппАОСР),"",_№ппАОСР)</f>
        <v/>
      </c>
    </row>
    <row r="7" spans="1:75" x14ac:dyDescent="0.25">
      <c r="A7" s="29">
        <f>Таблица1[впечать]</f>
        <v>0</v>
      </c>
      <c r="B7" s="29">
        <f t="shared" si="59"/>
        <v>0</v>
      </c>
      <c r="C7" t="str">
        <f t="shared" si="60"/>
        <v/>
      </c>
      <c r="D7" t="str">
        <f t="shared" si="61"/>
        <v/>
      </c>
      <c r="E7" t="str">
        <f t="shared" si="62"/>
        <v/>
      </c>
      <c r="F7" t="str">
        <f t="shared" si="63"/>
        <v/>
      </c>
      <c r="G7" t="str">
        <f t="shared" si="64"/>
        <v/>
      </c>
      <c r="H7" t="str">
        <f t="shared" si="65"/>
        <v/>
      </c>
      <c r="I7" t="str">
        <f t="shared" si="66"/>
        <v/>
      </c>
      <c r="J7" t="str">
        <f t="shared" si="67"/>
        <v/>
      </c>
      <c r="K7" t="str">
        <f t="shared" si="68"/>
        <v/>
      </c>
      <c r="L7" t="str">
        <f t="shared" si="69"/>
        <v/>
      </c>
      <c r="M7" t="str">
        <f t="shared" si="70"/>
        <v/>
      </c>
      <c r="N7" t="str">
        <f t="shared" si="71"/>
        <v/>
      </c>
      <c r="O7" t="str">
        <f t="shared" si="72"/>
        <v/>
      </c>
      <c r="P7" t="str">
        <f t="shared" si="73"/>
        <v/>
      </c>
      <c r="Q7" t="str">
        <f t="shared" si="74"/>
        <v/>
      </c>
      <c r="R7" t="str">
        <f t="shared" si="75"/>
        <v/>
      </c>
      <c r="S7" t="str">
        <f t="shared" si="76"/>
        <v/>
      </c>
      <c r="T7" t="str">
        <f t="shared" si="77"/>
        <v/>
      </c>
      <c r="U7" t="str">
        <f t="shared" si="78"/>
        <v/>
      </c>
      <c r="V7" t="str">
        <f t="shared" si="79"/>
        <v/>
      </c>
      <c r="W7" s="19" t="e">
        <f t="shared" si="80"/>
        <v>#VALUE!</v>
      </c>
      <c r="X7" s="19" t="e">
        <f t="shared" si="81"/>
        <v>#VALUE!</v>
      </c>
      <c r="Y7" s="19" t="e">
        <f t="shared" si="82"/>
        <v>#VALUE!</v>
      </c>
      <c r="Z7" t="str">
        <f t="shared" si="83"/>
        <v/>
      </c>
      <c r="AA7" t="str">
        <f t="shared" si="84"/>
        <v/>
      </c>
      <c r="AB7" t="str">
        <f t="shared" si="85"/>
        <v/>
      </c>
      <c r="AC7" t="str">
        <f t="shared" si="86"/>
        <v/>
      </c>
      <c r="AD7" t="str">
        <f t="shared" si="87"/>
        <v>Начальник участка СУ ООО «КРОСТ-Д» Шевцов А.М., приказ № 1127 от 06.12.2023 г.</v>
      </c>
      <c r="AE7" t="str">
        <f t="shared" si="88"/>
        <v/>
      </c>
      <c r="AF7" t="str">
        <f t="shared" si="89"/>
        <v/>
      </c>
      <c r="AG7" t="str">
        <f t="shared" si="90"/>
        <v/>
      </c>
      <c r="AH7" t="str">
        <f t="shared" si="91"/>
        <v/>
      </c>
      <c r="AI7" t="str">
        <f t="shared" si="92"/>
        <v/>
      </c>
      <c r="AJ7" t="str">
        <f t="shared" si="93"/>
        <v/>
      </c>
      <c r="AK7" t="str">
        <f t="shared" si="94"/>
        <v/>
      </c>
      <c r="AL7" t="str">
        <f t="shared" si="95"/>
        <v/>
      </c>
      <c r="AM7" t="str">
        <f t="shared" si="96"/>
        <v/>
      </c>
      <c r="AN7" t="str">
        <f t="shared" si="97"/>
        <v/>
      </c>
      <c r="AO7" t="str">
        <f t="shared" si="98"/>
        <v/>
      </c>
      <c r="AP7" t="str">
        <f t="shared" si="99"/>
        <v/>
      </c>
      <c r="AQ7" t="str">
        <f t="shared" si="100"/>
        <v/>
      </c>
      <c r="AR7" t="str">
        <f t="shared" si="101"/>
        <v/>
      </c>
      <c r="AS7" t="str">
        <f t="shared" si="102"/>
        <v/>
      </c>
      <c r="AT7" t="str">
        <f t="shared" si="103"/>
        <v/>
      </c>
      <c r="AU7" t="str">
        <f t="shared" si="104"/>
        <v/>
      </c>
      <c r="AV7">
        <f t="shared" si="105"/>
        <v>0</v>
      </c>
      <c r="AW7">
        <f t="shared" si="106"/>
        <v>0</v>
      </c>
      <c r="AX7">
        <f t="shared" si="107"/>
        <v>0</v>
      </c>
      <c r="AY7">
        <f t="shared" si="108"/>
        <v>0</v>
      </c>
      <c r="AZ7">
        <f t="shared" si="109"/>
        <v>0</v>
      </c>
      <c r="BA7" t="str">
        <f>CONCATENATE(IF(AV7=0,"",AV7),IF(AW7=0,""," "&amp;АОСР[[#Headers],[в интервале]]&amp;" "&amp;AW7),IF(AX7=0,""," "&amp;АОСР[[#Headers],[колодцев]]&amp;" "&amp;AX7),IF(AY7=0,""," ("&amp;AY7),IF(AZ7=0,""," "&amp;AZ7&amp;")"),IF(OR(AV7=0,AY7&lt;&gt;0,AZ7&lt;&gt;0),")",""))</f>
        <v>)</v>
      </c>
      <c r="BB7" t="str">
        <f t="shared" si="110"/>
        <v/>
      </c>
      <c r="BC7" t="str">
        <f t="shared" si="111"/>
        <v/>
      </c>
      <c r="BD7" t="str">
        <f t="shared" si="112"/>
        <v/>
      </c>
      <c r="BE7" t="str">
        <f t="shared" si="112"/>
        <v/>
      </c>
      <c r="BF7" t="str">
        <f t="shared" si="113"/>
        <v/>
      </c>
      <c r="BG7" s="19" t="e">
        <f t="shared" si="114"/>
        <v>#VALUE!</v>
      </c>
      <c r="BH7" s="19" t="e">
        <f t="shared" si="115"/>
        <v>#VALUE!</v>
      </c>
      <c r="BI7" s="19" t="e">
        <f t="shared" si="116"/>
        <v>#VALUE!</v>
      </c>
      <c r="BJ7" t="str">
        <f t="shared" si="117"/>
        <v/>
      </c>
      <c r="BK7" s="19" t="e">
        <f t="shared" si="118"/>
        <v>#VALUE!</v>
      </c>
      <c r="BL7" s="19" t="e">
        <f t="shared" si="119"/>
        <v>#VALUE!</v>
      </c>
      <c r="BM7" s="19" t="e">
        <f t="shared" si="120"/>
        <v>#VALUE!</v>
      </c>
      <c r="BN7" t="str">
        <f>IF(ISBLANK(_всоответствии_реквизиты),"",CONCATENATE(_всоответствии_реквизиты,IF(ISBLANK(АОСР[СНИП]),"","; "&amp;АОСР[СНИП])))</f>
        <v/>
      </c>
      <c r="BO7" t="str">
        <f t="shared" si="121"/>
        <v/>
      </c>
      <c r="BP7" t="str">
        <f t="shared" si="122"/>
        <v/>
      </c>
      <c r="BQ7" t="str">
        <f t="shared" si="123"/>
        <v/>
      </c>
      <c r="BR7" t="str">
        <f t="shared" si="124"/>
        <v/>
      </c>
      <c r="BS7" t="str">
        <f t="shared" si="125"/>
        <v/>
      </c>
      <c r="BT7" t="str">
        <f t="shared" si="126"/>
        <v/>
      </c>
      <c r="BU7" t="str">
        <f t="shared" si="127"/>
        <v/>
      </c>
      <c r="BV7" t="str">
        <f>IF(LEN(Таблица1[Накта])&gt;60,
    LEFT(Таблица1[Накта],30),
    Таблица1[Накта])</f>
        <v/>
      </c>
      <c r="BW7" t="str">
        <f>IF(ISBLANK(_№ппАОСР),"",_№ппАОСР)</f>
        <v/>
      </c>
    </row>
    <row r="8" spans="1:75" x14ac:dyDescent="0.25">
      <c r="A8" s="29">
        <f>Таблица1[впечать]</f>
        <v>0</v>
      </c>
      <c r="B8" s="29">
        <f t="shared" si="59"/>
        <v>0</v>
      </c>
      <c r="C8" t="str">
        <f t="shared" si="60"/>
        <v/>
      </c>
      <c r="D8" t="str">
        <f t="shared" si="61"/>
        <v/>
      </c>
      <c r="E8" t="str">
        <f t="shared" si="62"/>
        <v/>
      </c>
      <c r="F8" t="str">
        <f t="shared" si="63"/>
        <v/>
      </c>
      <c r="G8" t="str">
        <f t="shared" si="64"/>
        <v/>
      </c>
      <c r="H8" t="str">
        <f t="shared" si="65"/>
        <v/>
      </c>
      <c r="I8" t="str">
        <f t="shared" si="66"/>
        <v/>
      </c>
      <c r="J8" t="str">
        <f t="shared" si="67"/>
        <v/>
      </c>
      <c r="K8" t="str">
        <f t="shared" si="68"/>
        <v/>
      </c>
      <c r="L8" t="str">
        <f t="shared" si="69"/>
        <v/>
      </c>
      <c r="M8" t="str">
        <f t="shared" si="70"/>
        <v/>
      </c>
      <c r="N8" t="str">
        <f t="shared" si="71"/>
        <v/>
      </c>
      <c r="O8" t="str">
        <f t="shared" si="72"/>
        <v/>
      </c>
      <c r="P8" t="str">
        <f t="shared" si="73"/>
        <v/>
      </c>
      <c r="Q8" t="str">
        <f t="shared" si="74"/>
        <v/>
      </c>
      <c r="R8" t="str">
        <f t="shared" si="75"/>
        <v/>
      </c>
      <c r="S8" t="str">
        <f t="shared" si="76"/>
        <v/>
      </c>
      <c r="T8" t="str">
        <f t="shared" si="77"/>
        <v/>
      </c>
      <c r="U8" t="str">
        <f t="shared" si="78"/>
        <v/>
      </c>
      <c r="V8" t="str">
        <f t="shared" si="79"/>
        <v/>
      </c>
      <c r="W8" s="19" t="e">
        <f t="shared" si="80"/>
        <v>#VALUE!</v>
      </c>
      <c r="X8" s="19" t="e">
        <f t="shared" si="81"/>
        <v>#VALUE!</v>
      </c>
      <c r="Y8" s="19" t="e">
        <f t="shared" si="82"/>
        <v>#VALUE!</v>
      </c>
      <c r="Z8" t="str">
        <f t="shared" si="83"/>
        <v/>
      </c>
      <c r="AA8" t="str">
        <f t="shared" si="84"/>
        <v/>
      </c>
      <c r="AB8" t="str">
        <f t="shared" si="85"/>
        <v/>
      </c>
      <c r="AC8" t="str">
        <f t="shared" si="86"/>
        <v/>
      </c>
      <c r="AD8" t="str">
        <f t="shared" si="87"/>
        <v>Начальник участка СУ ООО «КРОСТ-Д» Шевцов А.М., приказ № 1127 от 06.12.2023 г.</v>
      </c>
      <c r="AE8" t="str">
        <f t="shared" si="88"/>
        <v/>
      </c>
      <c r="AF8" t="str">
        <f t="shared" si="89"/>
        <v/>
      </c>
      <c r="AG8" t="str">
        <f t="shared" si="90"/>
        <v/>
      </c>
      <c r="AH8" t="str">
        <f t="shared" si="91"/>
        <v/>
      </c>
      <c r="AI8" t="str">
        <f t="shared" si="92"/>
        <v/>
      </c>
      <c r="AJ8" t="str">
        <f t="shared" si="93"/>
        <v/>
      </c>
      <c r="AK8" t="str">
        <f t="shared" si="94"/>
        <v/>
      </c>
      <c r="AL8" t="str">
        <f t="shared" si="95"/>
        <v/>
      </c>
      <c r="AM8" t="str">
        <f t="shared" si="96"/>
        <v/>
      </c>
      <c r="AN8" t="str">
        <f t="shared" si="97"/>
        <v/>
      </c>
      <c r="AO8" t="str">
        <f t="shared" si="98"/>
        <v/>
      </c>
      <c r="AP8" t="str">
        <f t="shared" si="99"/>
        <v/>
      </c>
      <c r="AQ8" t="str">
        <f t="shared" si="100"/>
        <v/>
      </c>
      <c r="AR8" t="str">
        <f t="shared" si="101"/>
        <v/>
      </c>
      <c r="AS8" t="str">
        <f t="shared" si="102"/>
        <v/>
      </c>
      <c r="AT8" t="str">
        <f t="shared" si="103"/>
        <v/>
      </c>
      <c r="AU8" t="str">
        <f t="shared" si="104"/>
        <v/>
      </c>
      <c r="AV8">
        <f t="shared" si="105"/>
        <v>0</v>
      </c>
      <c r="AW8">
        <f t="shared" si="106"/>
        <v>0</v>
      </c>
      <c r="AX8">
        <f t="shared" si="107"/>
        <v>0</v>
      </c>
      <c r="AY8">
        <f t="shared" si="108"/>
        <v>0</v>
      </c>
      <c r="AZ8">
        <f t="shared" si="109"/>
        <v>0</v>
      </c>
      <c r="BA8" t="str">
        <f>CONCATENATE(IF(AV8=0,"",AV8),IF(AW8=0,""," "&amp;АОСР[[#Headers],[в интервале]]&amp;" "&amp;AW8),IF(AX8=0,""," "&amp;АОСР[[#Headers],[колодцев]]&amp;" "&amp;AX8),IF(AY8=0,""," ("&amp;AY8),IF(AZ8=0,""," "&amp;AZ8&amp;")"),IF(OR(AV8=0,AY8&lt;&gt;0,AZ8&lt;&gt;0),")",""))</f>
        <v>)</v>
      </c>
      <c r="BB8" t="str">
        <f t="shared" si="110"/>
        <v/>
      </c>
      <c r="BC8" t="str">
        <f t="shared" si="111"/>
        <v/>
      </c>
      <c r="BD8" t="str">
        <f t="shared" si="112"/>
        <v/>
      </c>
      <c r="BE8" t="str">
        <f t="shared" si="112"/>
        <v/>
      </c>
      <c r="BF8" t="str">
        <f t="shared" si="113"/>
        <v/>
      </c>
      <c r="BG8" s="19" t="e">
        <f t="shared" si="114"/>
        <v>#VALUE!</v>
      </c>
      <c r="BH8" s="19" t="e">
        <f t="shared" si="115"/>
        <v>#VALUE!</v>
      </c>
      <c r="BI8" s="19" t="e">
        <f t="shared" si="116"/>
        <v>#VALUE!</v>
      </c>
      <c r="BJ8" t="str">
        <f t="shared" si="117"/>
        <v/>
      </c>
      <c r="BK8" s="19" t="e">
        <f t="shared" si="118"/>
        <v>#VALUE!</v>
      </c>
      <c r="BL8" s="19" t="e">
        <f t="shared" si="119"/>
        <v>#VALUE!</v>
      </c>
      <c r="BM8" s="19" t="e">
        <f t="shared" si="120"/>
        <v>#VALUE!</v>
      </c>
      <c r="BN8" t="str">
        <f>IF(ISBLANK(_всоответствии_реквизиты),"",CONCATENATE(_всоответствии_реквизиты,IF(ISBLANK(АОСР[СНИП]),"","; "&amp;АОСР[СНИП])))</f>
        <v/>
      </c>
      <c r="BO8" t="str">
        <f t="shared" si="121"/>
        <v/>
      </c>
      <c r="BP8" t="str">
        <f t="shared" si="122"/>
        <v/>
      </c>
      <c r="BQ8" t="str">
        <f t="shared" si="123"/>
        <v/>
      </c>
      <c r="BR8" t="str">
        <f t="shared" si="124"/>
        <v/>
      </c>
      <c r="BS8" t="str">
        <f t="shared" si="125"/>
        <v/>
      </c>
      <c r="BT8" t="str">
        <f t="shared" si="126"/>
        <v/>
      </c>
      <c r="BU8" t="str">
        <f t="shared" si="127"/>
        <v/>
      </c>
      <c r="BV8" t="str">
        <f>IF(LEN(Таблица1[Накта])&gt;60,
    LEFT(Таблица1[Накта],30),
    Таблица1[Накта])</f>
        <v/>
      </c>
      <c r="BW8" t="str">
        <f>IF(ISBLANK(_№ппАОСР),"",_№ппАОСР)</f>
        <v/>
      </c>
    </row>
    <row r="9" spans="1:75" x14ac:dyDescent="0.25">
      <c r="A9" s="29">
        <f>Таблица1[впечать]</f>
        <v>0</v>
      </c>
      <c r="B9" s="29">
        <f t="shared" si="59"/>
        <v>0</v>
      </c>
      <c r="C9" t="str">
        <f t="shared" si="60"/>
        <v/>
      </c>
      <c r="D9" t="str">
        <f t="shared" si="61"/>
        <v/>
      </c>
      <c r="E9" t="str">
        <f t="shared" si="62"/>
        <v/>
      </c>
      <c r="F9" t="str">
        <f t="shared" si="63"/>
        <v/>
      </c>
      <c r="G9" t="str">
        <f t="shared" si="64"/>
        <v/>
      </c>
      <c r="H9" t="str">
        <f t="shared" si="65"/>
        <v/>
      </c>
      <c r="I9" t="str">
        <f t="shared" si="66"/>
        <v/>
      </c>
      <c r="J9" t="str">
        <f t="shared" si="67"/>
        <v/>
      </c>
      <c r="K9" t="str">
        <f t="shared" si="68"/>
        <v/>
      </c>
      <c r="L9" t="str">
        <f t="shared" si="69"/>
        <v/>
      </c>
      <c r="M9" t="str">
        <f t="shared" si="70"/>
        <v/>
      </c>
      <c r="N9" t="str">
        <f t="shared" si="71"/>
        <v/>
      </c>
      <c r="O9" t="str">
        <f t="shared" si="72"/>
        <v/>
      </c>
      <c r="P9" t="str">
        <f t="shared" si="73"/>
        <v/>
      </c>
      <c r="Q9" t="str">
        <f t="shared" si="74"/>
        <v/>
      </c>
      <c r="R9" t="str">
        <f t="shared" si="75"/>
        <v/>
      </c>
      <c r="S9" t="str">
        <f t="shared" si="76"/>
        <v/>
      </c>
      <c r="T9" t="str">
        <f t="shared" si="77"/>
        <v/>
      </c>
      <c r="U9" t="str">
        <f t="shared" si="78"/>
        <v/>
      </c>
      <c r="V9" t="str">
        <f t="shared" si="79"/>
        <v/>
      </c>
      <c r="W9" s="19" t="e">
        <f t="shared" si="80"/>
        <v>#VALUE!</v>
      </c>
      <c r="X9" s="19" t="e">
        <f t="shared" si="81"/>
        <v>#VALUE!</v>
      </c>
      <c r="Y9" s="19" t="e">
        <f t="shared" si="82"/>
        <v>#VALUE!</v>
      </c>
      <c r="Z9" t="str">
        <f t="shared" si="83"/>
        <v/>
      </c>
      <c r="AA9" t="str">
        <f t="shared" si="84"/>
        <v/>
      </c>
      <c r="AB9" t="str">
        <f t="shared" si="85"/>
        <v/>
      </c>
      <c r="AC9" t="str">
        <f t="shared" si="86"/>
        <v/>
      </c>
      <c r="AD9" t="str">
        <f t="shared" si="87"/>
        <v>Начальник участка СУ ООО «КРОСТ-Д» Шевцов А.М., приказ № 1127 от 06.12.2023 г.</v>
      </c>
      <c r="AE9" t="str">
        <f t="shared" si="88"/>
        <v/>
      </c>
      <c r="AF9" t="str">
        <f t="shared" si="89"/>
        <v/>
      </c>
      <c r="AG9" t="str">
        <f t="shared" si="90"/>
        <v/>
      </c>
      <c r="AH9" t="str">
        <f t="shared" si="91"/>
        <v/>
      </c>
      <c r="AI9" t="str">
        <f t="shared" si="92"/>
        <v/>
      </c>
      <c r="AJ9" t="str">
        <f t="shared" si="93"/>
        <v/>
      </c>
      <c r="AK9" t="str">
        <f t="shared" si="94"/>
        <v/>
      </c>
      <c r="AL9" t="str">
        <f t="shared" si="95"/>
        <v/>
      </c>
      <c r="AM9" t="str">
        <f t="shared" si="96"/>
        <v/>
      </c>
      <c r="AN9" t="str">
        <f t="shared" si="97"/>
        <v/>
      </c>
      <c r="AO9" t="str">
        <f t="shared" si="98"/>
        <v/>
      </c>
      <c r="AP9" t="str">
        <f t="shared" si="99"/>
        <v/>
      </c>
      <c r="AQ9" t="str">
        <f t="shared" si="100"/>
        <v/>
      </c>
      <c r="AR9" t="str">
        <f t="shared" si="101"/>
        <v/>
      </c>
      <c r="AS9" t="str">
        <f t="shared" si="102"/>
        <v/>
      </c>
      <c r="AT9" t="str">
        <f t="shared" si="103"/>
        <v/>
      </c>
      <c r="AU9" t="str">
        <f t="shared" si="104"/>
        <v/>
      </c>
      <c r="AV9">
        <f t="shared" si="105"/>
        <v>0</v>
      </c>
      <c r="AW9">
        <f t="shared" si="106"/>
        <v>0</v>
      </c>
      <c r="AX9">
        <f t="shared" si="107"/>
        <v>0</v>
      </c>
      <c r="AY9">
        <f t="shared" si="108"/>
        <v>0</v>
      </c>
      <c r="AZ9">
        <f t="shared" si="109"/>
        <v>0</v>
      </c>
      <c r="BA9" t="str">
        <f>CONCATENATE(IF(AV9=0,"",AV9),IF(AW9=0,""," "&amp;АОСР[[#Headers],[в интервале]]&amp;" "&amp;AW9),IF(AX9=0,""," "&amp;АОСР[[#Headers],[колодцев]]&amp;" "&amp;AX9),IF(AY9=0,""," ("&amp;AY9),IF(AZ9=0,""," "&amp;AZ9&amp;")"),IF(OR(AV9=0,AY9&lt;&gt;0,AZ9&lt;&gt;0),")",""))</f>
        <v>)</v>
      </c>
      <c r="BB9" t="str">
        <f t="shared" si="110"/>
        <v/>
      </c>
      <c r="BC9" t="str">
        <f t="shared" si="111"/>
        <v/>
      </c>
      <c r="BD9" t="str">
        <f t="shared" si="112"/>
        <v/>
      </c>
      <c r="BE9" t="str">
        <f t="shared" si="112"/>
        <v/>
      </c>
      <c r="BF9" t="str">
        <f t="shared" si="113"/>
        <v/>
      </c>
      <c r="BG9" s="19" t="e">
        <f t="shared" si="114"/>
        <v>#VALUE!</v>
      </c>
      <c r="BH9" s="19" t="e">
        <f t="shared" si="115"/>
        <v>#VALUE!</v>
      </c>
      <c r="BI9" s="19" t="e">
        <f t="shared" si="116"/>
        <v>#VALUE!</v>
      </c>
      <c r="BJ9" t="str">
        <f t="shared" si="117"/>
        <v/>
      </c>
      <c r="BK9" s="19" t="e">
        <f t="shared" si="118"/>
        <v>#VALUE!</v>
      </c>
      <c r="BL9" s="19" t="e">
        <f t="shared" si="119"/>
        <v>#VALUE!</v>
      </c>
      <c r="BM9" s="19" t="e">
        <f t="shared" si="120"/>
        <v>#VALUE!</v>
      </c>
      <c r="BN9" t="str">
        <f>IF(ISBLANK(_всоответствии_реквизиты),"",CONCATENATE(_всоответствии_реквизиты,IF(ISBLANK(АОСР[СНИП]),"","; "&amp;АОСР[СНИП])))</f>
        <v/>
      </c>
      <c r="BO9" t="str">
        <f t="shared" si="121"/>
        <v/>
      </c>
      <c r="BP9" t="str">
        <f t="shared" si="122"/>
        <v/>
      </c>
      <c r="BQ9" t="str">
        <f t="shared" si="123"/>
        <v/>
      </c>
      <c r="BR9" t="str">
        <f t="shared" si="124"/>
        <v/>
      </c>
      <c r="BS9" t="str">
        <f t="shared" si="125"/>
        <v/>
      </c>
      <c r="BT9" t="str">
        <f t="shared" si="126"/>
        <v/>
      </c>
      <c r="BU9" t="str">
        <f t="shared" si="127"/>
        <v/>
      </c>
      <c r="BV9" t="str">
        <f>IF(LEN(Таблица1[Накта])&gt;60,
    LEFT(Таблица1[Накта],30),
    Таблица1[Накта])</f>
        <v/>
      </c>
      <c r="BW9" t="str">
        <f>IF(ISBLANK(_№ппАОСР),"",_№ппАОСР)</f>
        <v/>
      </c>
    </row>
    <row r="10" spans="1:75" x14ac:dyDescent="0.25">
      <c r="A10" s="29">
        <f>Таблица1[впечать]</f>
        <v>0</v>
      </c>
      <c r="B10" s="29">
        <f t="shared" si="59"/>
        <v>0</v>
      </c>
      <c r="C10" t="str">
        <f t="shared" si="60"/>
        <v/>
      </c>
      <c r="D10" t="str">
        <f t="shared" si="61"/>
        <v/>
      </c>
      <c r="E10" t="str">
        <f t="shared" si="62"/>
        <v/>
      </c>
      <c r="F10" t="str">
        <f t="shared" si="63"/>
        <v/>
      </c>
      <c r="G10" t="str">
        <f t="shared" si="64"/>
        <v/>
      </c>
      <c r="H10" t="str">
        <f t="shared" si="65"/>
        <v/>
      </c>
      <c r="I10" t="str">
        <f t="shared" si="66"/>
        <v/>
      </c>
      <c r="J10" t="str">
        <f t="shared" si="67"/>
        <v/>
      </c>
      <c r="K10" t="str">
        <f t="shared" si="68"/>
        <v/>
      </c>
      <c r="L10" t="str">
        <f t="shared" si="69"/>
        <v/>
      </c>
      <c r="M10" t="str">
        <f t="shared" si="70"/>
        <v/>
      </c>
      <c r="N10" t="str">
        <f t="shared" si="71"/>
        <v/>
      </c>
      <c r="O10" t="str">
        <f t="shared" si="72"/>
        <v/>
      </c>
      <c r="P10" t="str">
        <f t="shared" si="73"/>
        <v/>
      </c>
      <c r="Q10" t="str">
        <f t="shared" si="74"/>
        <v/>
      </c>
      <c r="R10" t="str">
        <f t="shared" si="75"/>
        <v/>
      </c>
      <c r="S10" t="str">
        <f t="shared" si="76"/>
        <v/>
      </c>
      <c r="T10" t="str">
        <f t="shared" si="77"/>
        <v/>
      </c>
      <c r="U10" t="str">
        <f t="shared" si="78"/>
        <v/>
      </c>
      <c r="V10" t="str">
        <f t="shared" si="79"/>
        <v/>
      </c>
      <c r="W10" s="19" t="e">
        <f t="shared" si="80"/>
        <v>#VALUE!</v>
      </c>
      <c r="X10" s="19" t="e">
        <f t="shared" si="81"/>
        <v>#VALUE!</v>
      </c>
      <c r="Y10" s="19" t="e">
        <f t="shared" si="82"/>
        <v>#VALUE!</v>
      </c>
      <c r="Z10" t="str">
        <f t="shared" si="83"/>
        <v/>
      </c>
      <c r="AA10" t="str">
        <f t="shared" si="84"/>
        <v/>
      </c>
      <c r="AB10" t="str">
        <f t="shared" si="85"/>
        <v/>
      </c>
      <c r="AC10" t="str">
        <f t="shared" si="86"/>
        <v/>
      </c>
      <c r="AD10" t="str">
        <f t="shared" si="87"/>
        <v>Начальник участка СУ ООО «КРОСТ-Д» Шевцов А.М., приказ № 1127 от 06.12.2023 г.</v>
      </c>
      <c r="AE10" t="str">
        <f t="shared" si="88"/>
        <v/>
      </c>
      <c r="AF10" t="str">
        <f t="shared" si="89"/>
        <v/>
      </c>
      <c r="AG10" t="str">
        <f t="shared" si="90"/>
        <v/>
      </c>
      <c r="AH10" t="str">
        <f t="shared" si="91"/>
        <v/>
      </c>
      <c r="AI10" t="str">
        <f t="shared" si="92"/>
        <v/>
      </c>
      <c r="AJ10" t="str">
        <f t="shared" si="93"/>
        <v/>
      </c>
      <c r="AK10" t="str">
        <f t="shared" si="94"/>
        <v/>
      </c>
      <c r="AL10" t="str">
        <f t="shared" si="95"/>
        <v/>
      </c>
      <c r="AM10" t="str">
        <f t="shared" si="96"/>
        <v/>
      </c>
      <c r="AN10" t="str">
        <f t="shared" si="97"/>
        <v/>
      </c>
      <c r="AO10" t="str">
        <f t="shared" si="98"/>
        <v/>
      </c>
      <c r="AP10" t="str">
        <f t="shared" si="99"/>
        <v/>
      </c>
      <c r="AQ10" t="str">
        <f t="shared" si="100"/>
        <v/>
      </c>
      <c r="AR10" t="str">
        <f t="shared" si="101"/>
        <v/>
      </c>
      <c r="AS10" t="str">
        <f t="shared" si="102"/>
        <v/>
      </c>
      <c r="AT10" t="str">
        <f t="shared" si="103"/>
        <v/>
      </c>
      <c r="AU10" t="str">
        <f t="shared" si="104"/>
        <v/>
      </c>
      <c r="AV10">
        <f t="shared" si="105"/>
        <v>0</v>
      </c>
      <c r="AW10">
        <f t="shared" si="106"/>
        <v>0</v>
      </c>
      <c r="AX10">
        <f t="shared" si="107"/>
        <v>0</v>
      </c>
      <c r="AY10">
        <f t="shared" si="108"/>
        <v>0</v>
      </c>
      <c r="AZ10">
        <f t="shared" si="109"/>
        <v>0</v>
      </c>
      <c r="BA10" t="str">
        <f>CONCATENATE(IF(AV10=0,"",AV10),IF(AW10=0,""," "&amp;АОСР[[#Headers],[в интервале]]&amp;" "&amp;AW10),IF(AX10=0,""," "&amp;АОСР[[#Headers],[колодцев]]&amp;" "&amp;AX10),IF(AY10=0,""," ("&amp;AY10),IF(AZ10=0,""," "&amp;AZ10&amp;")"),IF(OR(AV10=0,AY10&lt;&gt;0,AZ10&lt;&gt;0),")",""))</f>
        <v>)</v>
      </c>
      <c r="BB10" t="str">
        <f t="shared" si="110"/>
        <v/>
      </c>
      <c r="BC10" t="str">
        <f t="shared" si="111"/>
        <v/>
      </c>
      <c r="BD10" t="str">
        <f t="shared" si="112"/>
        <v/>
      </c>
      <c r="BE10" t="str">
        <f t="shared" si="112"/>
        <v/>
      </c>
      <c r="BF10" t="str">
        <f t="shared" si="113"/>
        <v/>
      </c>
      <c r="BG10" s="19" t="e">
        <f t="shared" si="114"/>
        <v>#VALUE!</v>
      </c>
      <c r="BH10" s="19" t="e">
        <f t="shared" si="115"/>
        <v>#VALUE!</v>
      </c>
      <c r="BI10" s="19" t="e">
        <f t="shared" si="116"/>
        <v>#VALUE!</v>
      </c>
      <c r="BJ10" t="str">
        <f t="shared" si="117"/>
        <v/>
      </c>
      <c r="BK10" s="19" t="e">
        <f t="shared" si="118"/>
        <v>#VALUE!</v>
      </c>
      <c r="BL10" s="19" t="e">
        <f t="shared" si="119"/>
        <v>#VALUE!</v>
      </c>
      <c r="BM10" s="19" t="e">
        <f t="shared" si="120"/>
        <v>#VALUE!</v>
      </c>
      <c r="BN10" t="str">
        <f>IF(ISBLANK(_всоответствии_реквизиты),"",CONCATENATE(_всоответствии_реквизиты,IF(ISBLANK(АОСР[СНИП]),"","; "&amp;АОСР[СНИП])))</f>
        <v/>
      </c>
      <c r="BO10" t="str">
        <f t="shared" si="121"/>
        <v/>
      </c>
      <c r="BP10" t="str">
        <f t="shared" si="122"/>
        <v/>
      </c>
      <c r="BQ10" t="str">
        <f t="shared" si="123"/>
        <v/>
      </c>
      <c r="BR10" t="str">
        <f t="shared" si="124"/>
        <v/>
      </c>
      <c r="BS10" t="str">
        <f t="shared" si="125"/>
        <v/>
      </c>
      <c r="BT10" t="str">
        <f t="shared" si="126"/>
        <v/>
      </c>
      <c r="BU10" t="str">
        <f t="shared" si="127"/>
        <v/>
      </c>
      <c r="BV10" t="str">
        <f>IF(LEN(Таблица1[Накта])&gt;60,
    LEFT(Таблица1[Накта],30),
    Таблица1[Накта])</f>
        <v/>
      </c>
      <c r="BW10" t="str">
        <f>IF(ISBLANK(_№ппАОСР),"",_№ппАОСР)</f>
        <v/>
      </c>
    </row>
    <row r="11" spans="1:75" x14ac:dyDescent="0.25">
      <c r="A11" s="29">
        <f>Таблица1[впечать]</f>
        <v>0</v>
      </c>
      <c r="B11" s="29">
        <f t="shared" si="59"/>
        <v>0</v>
      </c>
      <c r="C11" t="str">
        <f t="shared" si="60"/>
        <v/>
      </c>
      <c r="D11" t="str">
        <f t="shared" si="61"/>
        <v/>
      </c>
      <c r="E11" t="str">
        <f t="shared" si="62"/>
        <v/>
      </c>
      <c r="F11" t="str">
        <f t="shared" si="63"/>
        <v/>
      </c>
      <c r="G11" t="str">
        <f t="shared" si="64"/>
        <v/>
      </c>
      <c r="H11" t="str">
        <f t="shared" si="65"/>
        <v/>
      </c>
      <c r="I11" t="str">
        <f t="shared" si="66"/>
        <v/>
      </c>
      <c r="J11" t="str">
        <f t="shared" si="67"/>
        <v/>
      </c>
      <c r="K11" t="str">
        <f t="shared" si="68"/>
        <v/>
      </c>
      <c r="L11" t="str">
        <f t="shared" si="69"/>
        <v/>
      </c>
      <c r="M11" t="str">
        <f t="shared" si="70"/>
        <v/>
      </c>
      <c r="N11" t="str">
        <f t="shared" si="71"/>
        <v/>
      </c>
      <c r="O11" t="str">
        <f t="shared" si="72"/>
        <v/>
      </c>
      <c r="P11" t="str">
        <f t="shared" si="73"/>
        <v/>
      </c>
      <c r="Q11" t="str">
        <f t="shared" si="74"/>
        <v/>
      </c>
      <c r="R11" t="str">
        <f t="shared" si="75"/>
        <v/>
      </c>
      <c r="S11" t="str">
        <f t="shared" si="76"/>
        <v/>
      </c>
      <c r="T11" t="str">
        <f t="shared" si="77"/>
        <v/>
      </c>
      <c r="U11" t="str">
        <f t="shared" si="78"/>
        <v/>
      </c>
      <c r="V11" t="str">
        <f t="shared" si="79"/>
        <v/>
      </c>
      <c r="W11" s="19" t="e">
        <f t="shared" si="80"/>
        <v>#VALUE!</v>
      </c>
      <c r="X11" s="19" t="e">
        <f t="shared" si="81"/>
        <v>#VALUE!</v>
      </c>
      <c r="Y11" s="19" t="e">
        <f t="shared" si="82"/>
        <v>#VALUE!</v>
      </c>
      <c r="Z11" t="str">
        <f t="shared" si="83"/>
        <v/>
      </c>
      <c r="AA11" t="str">
        <f t="shared" si="84"/>
        <v/>
      </c>
      <c r="AB11" t="str">
        <f t="shared" si="85"/>
        <v/>
      </c>
      <c r="AC11" t="str">
        <f t="shared" si="86"/>
        <v/>
      </c>
      <c r="AD11" t="str">
        <f t="shared" si="87"/>
        <v>Начальник участка СУ ООО «КРОСТ-Д» Шевцов А.М., приказ № 1127 от 06.12.2023 г.</v>
      </c>
      <c r="AE11" t="str">
        <f t="shared" si="88"/>
        <v/>
      </c>
      <c r="AF11" t="str">
        <f t="shared" si="89"/>
        <v/>
      </c>
      <c r="AG11" t="str">
        <f t="shared" si="90"/>
        <v/>
      </c>
      <c r="AH11" t="str">
        <f t="shared" si="91"/>
        <v/>
      </c>
      <c r="AI11" t="str">
        <f t="shared" si="92"/>
        <v/>
      </c>
      <c r="AJ11" t="str">
        <f t="shared" si="93"/>
        <v/>
      </c>
      <c r="AK11" t="str">
        <f t="shared" si="94"/>
        <v/>
      </c>
      <c r="AL11" t="str">
        <f t="shared" si="95"/>
        <v/>
      </c>
      <c r="AM11" t="str">
        <f t="shared" si="96"/>
        <v/>
      </c>
      <c r="AN11" t="str">
        <f t="shared" si="97"/>
        <v/>
      </c>
      <c r="AO11" t="str">
        <f t="shared" si="98"/>
        <v/>
      </c>
      <c r="AP11" t="str">
        <f t="shared" si="99"/>
        <v/>
      </c>
      <c r="AQ11" t="str">
        <f t="shared" si="100"/>
        <v/>
      </c>
      <c r="AR11" t="str">
        <f t="shared" si="101"/>
        <v/>
      </c>
      <c r="AS11" t="str">
        <f t="shared" si="102"/>
        <v/>
      </c>
      <c r="AT11" t="str">
        <f t="shared" si="103"/>
        <v/>
      </c>
      <c r="AU11" t="str">
        <f t="shared" si="104"/>
        <v/>
      </c>
      <c r="AV11">
        <f t="shared" si="105"/>
        <v>0</v>
      </c>
      <c r="AW11">
        <f t="shared" si="106"/>
        <v>0</v>
      </c>
      <c r="AX11">
        <f t="shared" si="107"/>
        <v>0</v>
      </c>
      <c r="AY11">
        <f t="shared" si="108"/>
        <v>0</v>
      </c>
      <c r="AZ11">
        <f t="shared" si="109"/>
        <v>0</v>
      </c>
      <c r="BA11" t="str">
        <f>CONCATENATE(IF(AV11=0,"",AV11),IF(AW11=0,""," "&amp;АОСР[[#Headers],[в интервале]]&amp;" "&amp;AW11),IF(AX11=0,""," "&amp;АОСР[[#Headers],[колодцев]]&amp;" "&amp;AX11),IF(AY11=0,""," ("&amp;AY11),IF(AZ11=0,""," "&amp;AZ11&amp;")"),IF(OR(AV11=0,AY11&lt;&gt;0,AZ11&lt;&gt;0),")",""))</f>
        <v>)</v>
      </c>
      <c r="BB11" t="str">
        <f t="shared" si="110"/>
        <v/>
      </c>
      <c r="BC11" t="str">
        <f t="shared" si="111"/>
        <v/>
      </c>
      <c r="BD11" t="str">
        <f t="shared" si="112"/>
        <v/>
      </c>
      <c r="BE11" t="str">
        <f t="shared" si="112"/>
        <v/>
      </c>
      <c r="BF11" t="str">
        <f t="shared" si="113"/>
        <v/>
      </c>
      <c r="BG11" s="19" t="e">
        <f t="shared" si="114"/>
        <v>#VALUE!</v>
      </c>
      <c r="BH11" s="19" t="e">
        <f t="shared" si="115"/>
        <v>#VALUE!</v>
      </c>
      <c r="BI11" s="19" t="e">
        <f t="shared" si="116"/>
        <v>#VALUE!</v>
      </c>
      <c r="BJ11" t="str">
        <f t="shared" si="117"/>
        <v/>
      </c>
      <c r="BK11" s="19" t="e">
        <f t="shared" si="118"/>
        <v>#VALUE!</v>
      </c>
      <c r="BL11" s="19" t="e">
        <f t="shared" si="119"/>
        <v>#VALUE!</v>
      </c>
      <c r="BM11" s="19" t="e">
        <f t="shared" si="120"/>
        <v>#VALUE!</v>
      </c>
      <c r="BN11" t="str">
        <f>IF(ISBLANK(_всоответствии_реквизиты),"",CONCATENATE(_всоответствии_реквизиты,IF(ISBLANK(АОСР[СНИП]),"","; "&amp;АОСР[СНИП])))</f>
        <v/>
      </c>
      <c r="BO11" t="str">
        <f t="shared" si="121"/>
        <v/>
      </c>
      <c r="BP11" t="str">
        <f t="shared" si="122"/>
        <v/>
      </c>
      <c r="BQ11" t="str">
        <f t="shared" si="123"/>
        <v/>
      </c>
      <c r="BR11" t="str">
        <f t="shared" si="124"/>
        <v/>
      </c>
      <c r="BS11" t="str">
        <f t="shared" si="125"/>
        <v/>
      </c>
      <c r="BT11" t="str">
        <f t="shared" si="126"/>
        <v/>
      </c>
      <c r="BU11" t="str">
        <f t="shared" si="127"/>
        <v/>
      </c>
      <c r="BV11" t="str">
        <f>IF(LEN(Таблица1[Накта])&gt;60,
    LEFT(Таблица1[Накта],30),
    Таблица1[Накта])</f>
        <v/>
      </c>
      <c r="BW11" t="str">
        <f>IF(ISBLANK(_№ппАОСР),"",_№ппАОСР)</f>
        <v/>
      </c>
    </row>
    <row r="12" spans="1:75" x14ac:dyDescent="0.25">
      <c r="A12" s="29">
        <f>Таблица1[впечать]</f>
        <v>0</v>
      </c>
      <c r="B12" s="29">
        <f t="shared" si="59"/>
        <v>0</v>
      </c>
      <c r="C12" t="str">
        <f t="shared" si="60"/>
        <v/>
      </c>
      <c r="D12" t="str">
        <f t="shared" si="61"/>
        <v/>
      </c>
      <c r="E12" t="str">
        <f t="shared" si="62"/>
        <v/>
      </c>
      <c r="F12" t="str">
        <f t="shared" si="63"/>
        <v/>
      </c>
      <c r="G12" t="str">
        <f t="shared" si="64"/>
        <v/>
      </c>
      <c r="H12" t="str">
        <f t="shared" si="65"/>
        <v/>
      </c>
      <c r="I12" t="str">
        <f t="shared" si="66"/>
        <v/>
      </c>
      <c r="J12" t="str">
        <f t="shared" si="67"/>
        <v/>
      </c>
      <c r="K12" t="str">
        <f t="shared" si="68"/>
        <v/>
      </c>
      <c r="L12" t="str">
        <f t="shared" si="69"/>
        <v/>
      </c>
      <c r="M12" t="str">
        <f t="shared" si="70"/>
        <v/>
      </c>
      <c r="N12" t="str">
        <f t="shared" si="71"/>
        <v/>
      </c>
      <c r="O12" t="str">
        <f t="shared" si="72"/>
        <v/>
      </c>
      <c r="P12" t="str">
        <f t="shared" si="73"/>
        <v/>
      </c>
      <c r="Q12" t="str">
        <f t="shared" si="74"/>
        <v/>
      </c>
      <c r="R12" t="str">
        <f t="shared" si="75"/>
        <v/>
      </c>
      <c r="S12" t="str">
        <f t="shared" si="76"/>
        <v/>
      </c>
      <c r="T12" t="str">
        <f t="shared" si="77"/>
        <v/>
      </c>
      <c r="U12" t="str">
        <f t="shared" si="78"/>
        <v/>
      </c>
      <c r="V12" t="str">
        <f t="shared" si="79"/>
        <v/>
      </c>
      <c r="W12" s="19" t="e">
        <f t="shared" si="80"/>
        <v>#VALUE!</v>
      </c>
      <c r="X12" s="19" t="e">
        <f t="shared" si="81"/>
        <v>#VALUE!</v>
      </c>
      <c r="Y12" s="19" t="e">
        <f t="shared" si="82"/>
        <v>#VALUE!</v>
      </c>
      <c r="Z12" t="str">
        <f t="shared" si="83"/>
        <v/>
      </c>
      <c r="AA12" t="str">
        <f t="shared" si="84"/>
        <v/>
      </c>
      <c r="AB12" t="str">
        <f t="shared" si="85"/>
        <v/>
      </c>
      <c r="AC12" t="str">
        <f t="shared" si="86"/>
        <v/>
      </c>
      <c r="AD12" t="str">
        <f t="shared" si="87"/>
        <v>Начальник участка СУ ООО «КРОСТ-Д» Шевцов А.М., приказ № 1127 от 06.12.2023 г.</v>
      </c>
      <c r="AE12" t="str">
        <f t="shared" si="88"/>
        <v/>
      </c>
      <c r="AF12" t="str">
        <f t="shared" si="89"/>
        <v/>
      </c>
      <c r="AG12" t="str">
        <f t="shared" si="90"/>
        <v/>
      </c>
      <c r="AH12" t="str">
        <f t="shared" si="91"/>
        <v/>
      </c>
      <c r="AI12" t="str">
        <f t="shared" si="92"/>
        <v/>
      </c>
      <c r="AJ12" t="str">
        <f t="shared" si="93"/>
        <v/>
      </c>
      <c r="AK12" t="str">
        <f t="shared" si="94"/>
        <v/>
      </c>
      <c r="AL12" t="str">
        <f t="shared" si="95"/>
        <v/>
      </c>
      <c r="AM12" t="str">
        <f t="shared" si="96"/>
        <v/>
      </c>
      <c r="AN12" t="str">
        <f t="shared" si="97"/>
        <v/>
      </c>
      <c r="AO12" t="str">
        <f t="shared" si="98"/>
        <v/>
      </c>
      <c r="AP12" t="str">
        <f t="shared" si="99"/>
        <v/>
      </c>
      <c r="AQ12" t="str">
        <f t="shared" si="100"/>
        <v/>
      </c>
      <c r="AR12" t="str">
        <f t="shared" si="101"/>
        <v/>
      </c>
      <c r="AS12" t="str">
        <f t="shared" si="102"/>
        <v/>
      </c>
      <c r="AT12" t="str">
        <f t="shared" si="103"/>
        <v/>
      </c>
      <c r="AU12" t="str">
        <f t="shared" si="104"/>
        <v/>
      </c>
      <c r="AV12">
        <f t="shared" si="105"/>
        <v>0</v>
      </c>
      <c r="AW12">
        <f t="shared" si="106"/>
        <v>0</v>
      </c>
      <c r="AX12">
        <f t="shared" si="107"/>
        <v>0</v>
      </c>
      <c r="AY12">
        <f t="shared" si="108"/>
        <v>0</v>
      </c>
      <c r="AZ12">
        <f t="shared" si="109"/>
        <v>0</v>
      </c>
      <c r="BA12" t="str">
        <f>CONCATENATE(IF(AV12=0,"",AV12),IF(AW12=0,""," "&amp;АОСР[[#Headers],[в интервале]]&amp;" "&amp;AW12),IF(AX12=0,""," "&amp;АОСР[[#Headers],[колодцев]]&amp;" "&amp;AX12),IF(AY12=0,""," ("&amp;AY12),IF(AZ12=0,""," "&amp;AZ12&amp;")"),IF(OR(AV12=0,AY12&lt;&gt;0,AZ12&lt;&gt;0),")",""))</f>
        <v>)</v>
      </c>
      <c r="BB12" t="str">
        <f t="shared" si="110"/>
        <v/>
      </c>
      <c r="BC12" t="str">
        <f t="shared" si="111"/>
        <v/>
      </c>
      <c r="BD12" t="str">
        <f t="shared" si="112"/>
        <v/>
      </c>
      <c r="BE12" t="str">
        <f t="shared" si="112"/>
        <v/>
      </c>
      <c r="BF12" t="str">
        <f t="shared" si="113"/>
        <v/>
      </c>
      <c r="BG12" s="19" t="e">
        <f t="shared" si="114"/>
        <v>#VALUE!</v>
      </c>
      <c r="BH12" s="19" t="e">
        <f t="shared" si="115"/>
        <v>#VALUE!</v>
      </c>
      <c r="BI12" s="19" t="e">
        <f t="shared" si="116"/>
        <v>#VALUE!</v>
      </c>
      <c r="BJ12" t="str">
        <f t="shared" si="117"/>
        <v/>
      </c>
      <c r="BK12" s="19" t="e">
        <f t="shared" si="118"/>
        <v>#VALUE!</v>
      </c>
      <c r="BL12" s="19" t="e">
        <f t="shared" si="119"/>
        <v>#VALUE!</v>
      </c>
      <c r="BM12" s="19" t="e">
        <f t="shared" si="120"/>
        <v>#VALUE!</v>
      </c>
      <c r="BN12" t="str">
        <f>IF(ISBLANK(_всоответствии_реквизиты),"",CONCATENATE(_всоответствии_реквизиты,IF(ISBLANK(АОСР[СНИП]),"","; "&amp;АОСР[СНИП])))</f>
        <v/>
      </c>
      <c r="BO12" t="str">
        <f t="shared" si="121"/>
        <v/>
      </c>
      <c r="BP12" t="str">
        <f t="shared" si="122"/>
        <v/>
      </c>
      <c r="BQ12" t="str">
        <f t="shared" si="123"/>
        <v/>
      </c>
      <c r="BR12" t="str">
        <f t="shared" si="124"/>
        <v/>
      </c>
      <c r="BS12" t="str">
        <f t="shared" si="125"/>
        <v/>
      </c>
      <c r="BT12" t="str">
        <f t="shared" si="126"/>
        <v/>
      </c>
      <c r="BU12" t="str">
        <f t="shared" si="127"/>
        <v/>
      </c>
      <c r="BV12" t="str">
        <f>IF(LEN(Таблица1[Накта])&gt;60,
    LEFT(Таблица1[Накта],30),
    Таблица1[Накта])</f>
        <v/>
      </c>
      <c r="BW12" t="str">
        <f>IF(ISBLANK(_№ппАОСР),"",_№ппАОСР)</f>
        <v/>
      </c>
    </row>
    <row r="13" spans="1:75" x14ac:dyDescent="0.25">
      <c r="A13" s="29">
        <f>Таблица1[впечать]</f>
        <v>0</v>
      </c>
      <c r="B13" s="29">
        <f t="shared" si="59"/>
        <v>0</v>
      </c>
      <c r="C13" t="str">
        <f t="shared" si="60"/>
        <v/>
      </c>
      <c r="D13" t="str">
        <f t="shared" si="61"/>
        <v/>
      </c>
      <c r="E13" t="str">
        <f t="shared" si="62"/>
        <v/>
      </c>
      <c r="F13" t="str">
        <f t="shared" si="63"/>
        <v/>
      </c>
      <c r="G13" t="str">
        <f t="shared" si="64"/>
        <v/>
      </c>
      <c r="H13" t="str">
        <f t="shared" si="65"/>
        <v/>
      </c>
      <c r="I13" t="str">
        <f t="shared" si="66"/>
        <v/>
      </c>
      <c r="J13" t="str">
        <f t="shared" si="67"/>
        <v/>
      </c>
      <c r="K13" t="str">
        <f t="shared" si="68"/>
        <v/>
      </c>
      <c r="L13" t="str">
        <f t="shared" si="69"/>
        <v/>
      </c>
      <c r="M13" t="str">
        <f t="shared" si="70"/>
        <v/>
      </c>
      <c r="N13" t="str">
        <f t="shared" si="71"/>
        <v/>
      </c>
      <c r="O13" t="str">
        <f t="shared" si="72"/>
        <v/>
      </c>
      <c r="P13" t="str">
        <f t="shared" si="73"/>
        <v/>
      </c>
      <c r="Q13" t="str">
        <f t="shared" si="74"/>
        <v/>
      </c>
      <c r="R13" t="str">
        <f t="shared" si="75"/>
        <v/>
      </c>
      <c r="S13" t="str">
        <f t="shared" si="76"/>
        <v/>
      </c>
      <c r="T13" t="str">
        <f t="shared" si="77"/>
        <v/>
      </c>
      <c r="U13" t="str">
        <f t="shared" si="78"/>
        <v/>
      </c>
      <c r="V13" t="str">
        <f t="shared" si="79"/>
        <v/>
      </c>
      <c r="W13" s="19" t="e">
        <f t="shared" si="80"/>
        <v>#VALUE!</v>
      </c>
      <c r="X13" s="19" t="e">
        <f t="shared" si="81"/>
        <v>#VALUE!</v>
      </c>
      <c r="Y13" s="19" t="e">
        <f t="shared" si="82"/>
        <v>#VALUE!</v>
      </c>
      <c r="Z13" t="str">
        <f t="shared" si="83"/>
        <v/>
      </c>
      <c r="AA13" t="str">
        <f t="shared" si="84"/>
        <v/>
      </c>
      <c r="AB13" t="str">
        <f t="shared" si="85"/>
        <v/>
      </c>
      <c r="AC13" t="str">
        <f t="shared" si="86"/>
        <v/>
      </c>
      <c r="AD13" t="str">
        <f t="shared" si="87"/>
        <v>Начальник участка СУ ООО «КРОСТ-Д» Шевцов А.М., приказ № 1127 от 06.12.2023 г.</v>
      </c>
      <c r="AE13" t="str">
        <f t="shared" si="88"/>
        <v/>
      </c>
      <c r="AF13" t="str">
        <f t="shared" si="89"/>
        <v/>
      </c>
      <c r="AG13" t="str">
        <f t="shared" si="90"/>
        <v/>
      </c>
      <c r="AH13" t="str">
        <f t="shared" si="91"/>
        <v/>
      </c>
      <c r="AI13" t="str">
        <f t="shared" si="92"/>
        <v/>
      </c>
      <c r="AJ13" t="str">
        <f t="shared" si="93"/>
        <v/>
      </c>
      <c r="AK13" t="str">
        <f t="shared" si="94"/>
        <v/>
      </c>
      <c r="AL13" t="str">
        <f t="shared" si="95"/>
        <v/>
      </c>
      <c r="AM13" t="str">
        <f t="shared" si="96"/>
        <v/>
      </c>
      <c r="AN13" t="str">
        <f t="shared" si="97"/>
        <v/>
      </c>
      <c r="AO13" t="str">
        <f t="shared" si="98"/>
        <v/>
      </c>
      <c r="AP13" t="str">
        <f t="shared" si="99"/>
        <v/>
      </c>
      <c r="AQ13" t="str">
        <f t="shared" si="100"/>
        <v/>
      </c>
      <c r="AR13" t="str">
        <f t="shared" si="101"/>
        <v/>
      </c>
      <c r="AS13" t="str">
        <f t="shared" si="102"/>
        <v/>
      </c>
      <c r="AT13" t="str">
        <f t="shared" si="103"/>
        <v/>
      </c>
      <c r="AU13" t="str">
        <f t="shared" si="104"/>
        <v/>
      </c>
      <c r="AV13">
        <f t="shared" si="105"/>
        <v>0</v>
      </c>
      <c r="AW13">
        <f t="shared" si="106"/>
        <v>0</v>
      </c>
      <c r="AX13">
        <f t="shared" si="107"/>
        <v>0</v>
      </c>
      <c r="AY13">
        <f t="shared" si="108"/>
        <v>0</v>
      </c>
      <c r="AZ13">
        <f t="shared" si="109"/>
        <v>0</v>
      </c>
      <c r="BA13" t="str">
        <f>CONCATENATE(IF(AV13=0,"",AV13),IF(AW13=0,""," "&amp;АОСР[[#Headers],[в интервале]]&amp;" "&amp;AW13),IF(AX13=0,""," "&amp;АОСР[[#Headers],[колодцев]]&amp;" "&amp;AX13),IF(AY13=0,""," ("&amp;AY13),IF(AZ13=0,""," "&amp;AZ13&amp;")"),IF(OR(AV13=0,AY13&lt;&gt;0,AZ13&lt;&gt;0),")",""))</f>
        <v>)</v>
      </c>
      <c r="BB13" t="str">
        <f t="shared" si="110"/>
        <v/>
      </c>
      <c r="BC13" t="str">
        <f t="shared" si="111"/>
        <v/>
      </c>
      <c r="BD13" t="str">
        <f t="shared" si="112"/>
        <v/>
      </c>
      <c r="BE13" t="str">
        <f t="shared" si="112"/>
        <v/>
      </c>
      <c r="BF13" t="str">
        <f t="shared" si="113"/>
        <v/>
      </c>
      <c r="BG13" s="19" t="e">
        <f t="shared" si="114"/>
        <v>#VALUE!</v>
      </c>
      <c r="BH13" s="19" t="e">
        <f t="shared" si="115"/>
        <v>#VALUE!</v>
      </c>
      <c r="BI13" s="19" t="e">
        <f t="shared" si="116"/>
        <v>#VALUE!</v>
      </c>
      <c r="BJ13" t="str">
        <f t="shared" si="117"/>
        <v/>
      </c>
      <c r="BK13" s="19" t="e">
        <f t="shared" si="118"/>
        <v>#VALUE!</v>
      </c>
      <c r="BL13" s="19" t="e">
        <f t="shared" si="119"/>
        <v>#VALUE!</v>
      </c>
      <c r="BM13" s="19" t="e">
        <f t="shared" si="120"/>
        <v>#VALUE!</v>
      </c>
      <c r="BN13" t="str">
        <f>IF(ISBLANK(_всоответствии_реквизиты),"",CONCATENATE(_всоответствии_реквизиты,IF(ISBLANK(АОСР[СНИП]),"","; "&amp;АОСР[СНИП])))</f>
        <v/>
      </c>
      <c r="BO13" t="str">
        <f t="shared" si="121"/>
        <v/>
      </c>
      <c r="BP13" t="str">
        <f t="shared" si="122"/>
        <v/>
      </c>
      <c r="BQ13" t="str">
        <f t="shared" si="123"/>
        <v/>
      </c>
      <c r="BR13" t="str">
        <f t="shared" si="124"/>
        <v/>
      </c>
      <c r="BS13" t="str">
        <f t="shared" si="125"/>
        <v/>
      </c>
      <c r="BT13" t="str">
        <f t="shared" si="126"/>
        <v/>
      </c>
      <c r="BU13" t="str">
        <f t="shared" si="127"/>
        <v/>
      </c>
      <c r="BV13" t="str">
        <f>IF(LEN(Таблица1[Накта])&gt;60,
    LEFT(Таблица1[Накта],30),
    Таблица1[Накта])</f>
        <v/>
      </c>
      <c r="BW13" t="str">
        <f>IF(ISBLANK(_№ппАОСР),"",_№ппАОСР)</f>
        <v/>
      </c>
    </row>
    <row r="14" spans="1:75" x14ac:dyDescent="0.25">
      <c r="A14" s="29">
        <f>Таблица1[впечать]</f>
        <v>0</v>
      </c>
      <c r="B14" s="29">
        <f t="shared" si="59"/>
        <v>0</v>
      </c>
      <c r="C14" t="str">
        <f t="shared" si="60"/>
        <v/>
      </c>
      <c r="D14" t="str">
        <f t="shared" si="61"/>
        <v/>
      </c>
      <c r="E14" t="str">
        <f t="shared" si="62"/>
        <v/>
      </c>
      <c r="F14" t="str">
        <f t="shared" si="63"/>
        <v/>
      </c>
      <c r="G14" t="str">
        <f t="shared" si="64"/>
        <v/>
      </c>
      <c r="H14" t="str">
        <f t="shared" si="65"/>
        <v/>
      </c>
      <c r="I14" t="str">
        <f t="shared" si="66"/>
        <v/>
      </c>
      <c r="J14" t="str">
        <f t="shared" si="67"/>
        <v/>
      </c>
      <c r="K14" t="str">
        <f t="shared" si="68"/>
        <v/>
      </c>
      <c r="L14" t="str">
        <f t="shared" si="69"/>
        <v/>
      </c>
      <c r="M14" t="str">
        <f t="shared" si="70"/>
        <v/>
      </c>
      <c r="N14" t="str">
        <f t="shared" si="71"/>
        <v/>
      </c>
      <c r="O14" t="str">
        <f t="shared" si="72"/>
        <v/>
      </c>
      <c r="P14" t="str">
        <f t="shared" si="73"/>
        <v/>
      </c>
      <c r="Q14" t="str">
        <f t="shared" si="74"/>
        <v/>
      </c>
      <c r="R14" t="str">
        <f t="shared" si="75"/>
        <v/>
      </c>
      <c r="S14" t="str">
        <f t="shared" si="76"/>
        <v/>
      </c>
      <c r="T14" t="str">
        <f t="shared" si="77"/>
        <v/>
      </c>
      <c r="U14" t="str">
        <f t="shared" si="78"/>
        <v/>
      </c>
      <c r="V14" t="str">
        <f t="shared" si="79"/>
        <v/>
      </c>
      <c r="W14" s="19" t="e">
        <f t="shared" si="80"/>
        <v>#VALUE!</v>
      </c>
      <c r="X14" s="19" t="e">
        <f t="shared" si="81"/>
        <v>#VALUE!</v>
      </c>
      <c r="Y14" s="19" t="e">
        <f t="shared" si="82"/>
        <v>#VALUE!</v>
      </c>
      <c r="Z14" t="str">
        <f t="shared" si="83"/>
        <v/>
      </c>
      <c r="AA14" t="str">
        <f t="shared" si="84"/>
        <v/>
      </c>
      <c r="AB14" t="str">
        <f t="shared" si="85"/>
        <v/>
      </c>
      <c r="AC14" t="str">
        <f t="shared" si="86"/>
        <v/>
      </c>
      <c r="AD14" t="str">
        <f t="shared" si="87"/>
        <v>Начальник участка СУ ООО «КРОСТ-Д» Шевцов А.М., приказ № 1127 от 06.12.2023 г.</v>
      </c>
      <c r="AE14" t="str">
        <f t="shared" si="88"/>
        <v/>
      </c>
      <c r="AF14" t="str">
        <f t="shared" si="89"/>
        <v/>
      </c>
      <c r="AG14" t="str">
        <f t="shared" si="90"/>
        <v/>
      </c>
      <c r="AH14" t="str">
        <f t="shared" si="91"/>
        <v/>
      </c>
      <c r="AI14" t="str">
        <f t="shared" si="92"/>
        <v/>
      </c>
      <c r="AJ14" t="str">
        <f t="shared" si="93"/>
        <v/>
      </c>
      <c r="AK14" t="str">
        <f t="shared" si="94"/>
        <v/>
      </c>
      <c r="AL14" t="str">
        <f t="shared" si="95"/>
        <v/>
      </c>
      <c r="AM14" t="str">
        <f t="shared" si="96"/>
        <v/>
      </c>
      <c r="AN14" t="str">
        <f t="shared" si="97"/>
        <v/>
      </c>
      <c r="AO14" t="str">
        <f t="shared" si="98"/>
        <v/>
      </c>
      <c r="AP14" t="str">
        <f t="shared" si="99"/>
        <v/>
      </c>
      <c r="AQ14" t="str">
        <f t="shared" si="100"/>
        <v/>
      </c>
      <c r="AR14" t="str">
        <f t="shared" si="101"/>
        <v/>
      </c>
      <c r="AS14" t="str">
        <f t="shared" si="102"/>
        <v/>
      </c>
      <c r="AT14" t="str">
        <f t="shared" si="103"/>
        <v/>
      </c>
      <c r="AU14" t="str">
        <f t="shared" si="104"/>
        <v/>
      </c>
      <c r="AV14">
        <f t="shared" si="105"/>
        <v>0</v>
      </c>
      <c r="AW14">
        <f t="shared" si="106"/>
        <v>0</v>
      </c>
      <c r="AX14">
        <f t="shared" si="107"/>
        <v>0</v>
      </c>
      <c r="AY14">
        <f t="shared" si="108"/>
        <v>0</v>
      </c>
      <c r="AZ14">
        <f t="shared" si="109"/>
        <v>0</v>
      </c>
      <c r="BA14" t="str">
        <f>CONCATENATE(IF(AV14=0,"",AV14),IF(AW14=0,""," "&amp;АОСР[[#Headers],[в интервале]]&amp;" "&amp;AW14),IF(AX14=0,""," "&amp;АОСР[[#Headers],[колодцев]]&amp;" "&amp;AX14),IF(AY14=0,""," ("&amp;AY14),IF(AZ14=0,""," "&amp;AZ14&amp;")"),IF(OR(AV14=0,AY14&lt;&gt;0,AZ14&lt;&gt;0),")",""))</f>
        <v>)</v>
      </c>
      <c r="BB14" t="str">
        <f t="shared" si="110"/>
        <v/>
      </c>
      <c r="BC14" t="str">
        <f t="shared" si="111"/>
        <v/>
      </c>
      <c r="BD14" t="str">
        <f t="shared" si="112"/>
        <v/>
      </c>
      <c r="BE14" t="str">
        <f t="shared" si="112"/>
        <v/>
      </c>
      <c r="BF14" t="str">
        <f t="shared" si="113"/>
        <v/>
      </c>
      <c r="BG14" s="19" t="e">
        <f t="shared" si="114"/>
        <v>#VALUE!</v>
      </c>
      <c r="BH14" s="19" t="e">
        <f t="shared" si="115"/>
        <v>#VALUE!</v>
      </c>
      <c r="BI14" s="19" t="e">
        <f t="shared" si="116"/>
        <v>#VALUE!</v>
      </c>
      <c r="BJ14" t="str">
        <f t="shared" si="117"/>
        <v/>
      </c>
      <c r="BK14" s="19" t="e">
        <f t="shared" si="118"/>
        <v>#VALUE!</v>
      </c>
      <c r="BL14" s="19" t="e">
        <f t="shared" si="119"/>
        <v>#VALUE!</v>
      </c>
      <c r="BM14" s="19" t="e">
        <f t="shared" si="120"/>
        <v>#VALUE!</v>
      </c>
      <c r="BN14" t="str">
        <f>IF(ISBLANK(_всоответствии_реквизиты),"",CONCATENATE(_всоответствии_реквизиты,IF(ISBLANK(АОСР[СНИП]),"","; "&amp;АОСР[СНИП])))</f>
        <v/>
      </c>
      <c r="BO14" t="str">
        <f t="shared" si="121"/>
        <v/>
      </c>
      <c r="BP14" t="str">
        <f t="shared" si="122"/>
        <v/>
      </c>
      <c r="BQ14" t="str">
        <f t="shared" si="123"/>
        <v/>
      </c>
      <c r="BR14" t="str">
        <f t="shared" si="124"/>
        <v/>
      </c>
      <c r="BS14" t="str">
        <f t="shared" si="125"/>
        <v/>
      </c>
      <c r="BT14" t="str">
        <f t="shared" si="126"/>
        <v/>
      </c>
      <c r="BU14" t="str">
        <f t="shared" si="127"/>
        <v/>
      </c>
      <c r="BV14" t="str">
        <f>IF(LEN(Таблица1[Накта])&gt;60,
    LEFT(Таблица1[Накта],30),
    Таблица1[Накта])</f>
        <v/>
      </c>
      <c r="BW14" t="str">
        <f>IF(ISBLANK(_№ппАОСР),"",_№ппАОСР)</f>
        <v/>
      </c>
    </row>
    <row r="15" spans="1:75" x14ac:dyDescent="0.25">
      <c r="A15" s="29">
        <f>Таблица1[впечать]</f>
        <v>0</v>
      </c>
      <c r="B15" s="29">
        <f t="shared" si="59"/>
        <v>0</v>
      </c>
      <c r="C15" t="str">
        <f t="shared" si="60"/>
        <v/>
      </c>
      <c r="D15" t="str">
        <f t="shared" si="61"/>
        <v/>
      </c>
      <c r="E15" t="str">
        <f t="shared" si="62"/>
        <v/>
      </c>
      <c r="F15" t="str">
        <f t="shared" si="63"/>
        <v/>
      </c>
      <c r="G15" t="str">
        <f t="shared" si="64"/>
        <v/>
      </c>
      <c r="H15" t="str">
        <f t="shared" si="65"/>
        <v/>
      </c>
      <c r="I15" t="str">
        <f t="shared" si="66"/>
        <v/>
      </c>
      <c r="J15" t="str">
        <f t="shared" si="67"/>
        <v/>
      </c>
      <c r="K15" t="str">
        <f t="shared" si="68"/>
        <v/>
      </c>
      <c r="L15" t="str">
        <f t="shared" si="69"/>
        <v/>
      </c>
      <c r="M15" t="str">
        <f t="shared" si="70"/>
        <v/>
      </c>
      <c r="N15" t="str">
        <f t="shared" si="71"/>
        <v/>
      </c>
      <c r="O15" t="str">
        <f t="shared" si="72"/>
        <v/>
      </c>
      <c r="P15" t="str">
        <f t="shared" si="73"/>
        <v/>
      </c>
      <c r="Q15" t="str">
        <f t="shared" si="74"/>
        <v/>
      </c>
      <c r="R15" t="str">
        <f t="shared" si="75"/>
        <v/>
      </c>
      <c r="S15" t="str">
        <f t="shared" si="76"/>
        <v/>
      </c>
      <c r="T15" t="str">
        <f t="shared" si="77"/>
        <v/>
      </c>
      <c r="U15" t="str">
        <f t="shared" si="78"/>
        <v/>
      </c>
      <c r="V15" t="str">
        <f t="shared" si="79"/>
        <v/>
      </c>
      <c r="W15" s="19" t="e">
        <f t="shared" si="80"/>
        <v>#VALUE!</v>
      </c>
      <c r="X15" s="19" t="e">
        <f t="shared" si="81"/>
        <v>#VALUE!</v>
      </c>
      <c r="Y15" s="19" t="e">
        <f t="shared" si="82"/>
        <v>#VALUE!</v>
      </c>
      <c r="Z15" t="str">
        <f t="shared" si="83"/>
        <v/>
      </c>
      <c r="AA15" t="str">
        <f t="shared" si="84"/>
        <v/>
      </c>
      <c r="AB15" t="str">
        <f t="shared" si="85"/>
        <v/>
      </c>
      <c r="AC15" t="str">
        <f t="shared" si="86"/>
        <v/>
      </c>
      <c r="AD15" t="str">
        <f t="shared" si="87"/>
        <v>Начальник участка СУ ООО «КРОСТ-Д» Шевцов А.М., приказ № 1127 от 06.12.2023 г.</v>
      </c>
      <c r="AE15" t="str">
        <f t="shared" si="88"/>
        <v/>
      </c>
      <c r="AF15" t="str">
        <f t="shared" si="89"/>
        <v/>
      </c>
      <c r="AG15" t="str">
        <f t="shared" si="90"/>
        <v/>
      </c>
      <c r="AH15" t="str">
        <f t="shared" si="91"/>
        <v/>
      </c>
      <c r="AI15" t="str">
        <f t="shared" si="92"/>
        <v/>
      </c>
      <c r="AJ15" t="str">
        <f t="shared" si="93"/>
        <v/>
      </c>
      <c r="AK15" t="str">
        <f t="shared" si="94"/>
        <v/>
      </c>
      <c r="AL15" t="str">
        <f t="shared" si="95"/>
        <v/>
      </c>
      <c r="AM15" t="str">
        <f t="shared" si="96"/>
        <v/>
      </c>
      <c r="AN15" t="str">
        <f t="shared" si="97"/>
        <v/>
      </c>
      <c r="AO15" t="str">
        <f t="shared" si="98"/>
        <v/>
      </c>
      <c r="AP15" t="str">
        <f t="shared" si="99"/>
        <v/>
      </c>
      <c r="AQ15" t="str">
        <f t="shared" si="100"/>
        <v/>
      </c>
      <c r="AR15" t="str">
        <f t="shared" si="101"/>
        <v/>
      </c>
      <c r="AS15" t="str">
        <f t="shared" si="102"/>
        <v/>
      </c>
      <c r="AT15" t="str">
        <f t="shared" si="103"/>
        <v/>
      </c>
      <c r="AU15" t="str">
        <f t="shared" si="104"/>
        <v/>
      </c>
      <c r="AV15">
        <f t="shared" si="105"/>
        <v>0</v>
      </c>
      <c r="AW15">
        <f t="shared" si="106"/>
        <v>0</v>
      </c>
      <c r="AX15">
        <f t="shared" si="107"/>
        <v>0</v>
      </c>
      <c r="AY15">
        <f t="shared" si="108"/>
        <v>0</v>
      </c>
      <c r="AZ15">
        <f t="shared" si="109"/>
        <v>0</v>
      </c>
      <c r="BA15" t="str">
        <f>CONCATENATE(IF(AV15=0,"",AV15),IF(AW15=0,""," "&amp;АОСР[[#Headers],[в интервале]]&amp;" "&amp;AW15),IF(AX15=0,""," "&amp;АОСР[[#Headers],[колодцев]]&amp;" "&amp;AX15),IF(AY15=0,""," ("&amp;AY15),IF(AZ15=0,""," "&amp;AZ15&amp;")"),IF(OR(AV15=0,AY15&lt;&gt;0,AZ15&lt;&gt;0),")",""))</f>
        <v>)</v>
      </c>
      <c r="BB15" t="str">
        <f t="shared" si="110"/>
        <v/>
      </c>
      <c r="BC15" t="str">
        <f t="shared" si="111"/>
        <v/>
      </c>
      <c r="BD15" t="str">
        <f t="shared" si="112"/>
        <v/>
      </c>
      <c r="BE15" t="str">
        <f t="shared" si="112"/>
        <v/>
      </c>
      <c r="BF15" t="str">
        <f t="shared" si="113"/>
        <v/>
      </c>
      <c r="BG15" s="19" t="e">
        <f t="shared" si="114"/>
        <v>#VALUE!</v>
      </c>
      <c r="BH15" s="19" t="e">
        <f t="shared" si="115"/>
        <v>#VALUE!</v>
      </c>
      <c r="BI15" s="19" t="e">
        <f t="shared" si="116"/>
        <v>#VALUE!</v>
      </c>
      <c r="BJ15" t="str">
        <f t="shared" si="117"/>
        <v/>
      </c>
      <c r="BK15" s="19" t="e">
        <f t="shared" si="118"/>
        <v>#VALUE!</v>
      </c>
      <c r="BL15" s="19" t="e">
        <f t="shared" si="119"/>
        <v>#VALUE!</v>
      </c>
      <c r="BM15" s="19" t="e">
        <f t="shared" si="120"/>
        <v>#VALUE!</v>
      </c>
      <c r="BN15" t="str">
        <f>IF(ISBLANK(_всоответствии_реквизиты),"",CONCATENATE(_всоответствии_реквизиты,IF(ISBLANK(АОСР[СНИП]),"","; "&amp;АОСР[СНИП])))</f>
        <v/>
      </c>
      <c r="BO15" t="str">
        <f t="shared" si="121"/>
        <v/>
      </c>
      <c r="BP15" t="str">
        <f t="shared" si="122"/>
        <v/>
      </c>
      <c r="BQ15" t="str">
        <f t="shared" si="123"/>
        <v/>
      </c>
      <c r="BR15" t="str">
        <f t="shared" si="124"/>
        <v/>
      </c>
      <c r="BS15" t="str">
        <f t="shared" si="125"/>
        <v/>
      </c>
      <c r="BT15" t="str">
        <f t="shared" si="126"/>
        <v/>
      </c>
      <c r="BU15" t="str">
        <f t="shared" si="127"/>
        <v/>
      </c>
      <c r="BV15" t="str">
        <f>IF(LEN(Таблица1[Накта])&gt;60,
    LEFT(Таблица1[Накта],30),
    Таблица1[Накта])</f>
        <v/>
      </c>
      <c r="BW15" t="str">
        <f>IF(ISBLANK(_№ппАОСР),"",_№ппАОСР)</f>
        <v/>
      </c>
    </row>
    <row r="16" spans="1:75" x14ac:dyDescent="0.25">
      <c r="A16" s="29">
        <f>Таблица1[впечать]</f>
        <v>0</v>
      </c>
      <c r="B16" s="29">
        <f t="shared" si="59"/>
        <v>0</v>
      </c>
      <c r="C16" t="str">
        <f t="shared" si="60"/>
        <v/>
      </c>
      <c r="D16" t="str">
        <f t="shared" si="61"/>
        <v/>
      </c>
      <c r="E16" t="str">
        <f t="shared" si="62"/>
        <v/>
      </c>
      <c r="F16" t="str">
        <f t="shared" si="63"/>
        <v/>
      </c>
      <c r="G16" t="str">
        <f t="shared" si="64"/>
        <v/>
      </c>
      <c r="H16" t="str">
        <f t="shared" si="65"/>
        <v/>
      </c>
      <c r="I16" t="str">
        <f t="shared" si="66"/>
        <v/>
      </c>
      <c r="J16" t="str">
        <f t="shared" si="67"/>
        <v/>
      </c>
      <c r="K16" t="str">
        <f t="shared" si="68"/>
        <v/>
      </c>
      <c r="L16" t="str">
        <f t="shared" si="69"/>
        <v/>
      </c>
      <c r="M16" t="str">
        <f t="shared" si="70"/>
        <v/>
      </c>
      <c r="N16" t="str">
        <f t="shared" si="71"/>
        <v/>
      </c>
      <c r="O16" t="str">
        <f t="shared" si="72"/>
        <v/>
      </c>
      <c r="P16" t="str">
        <f t="shared" si="73"/>
        <v/>
      </c>
      <c r="Q16" t="str">
        <f t="shared" si="74"/>
        <v/>
      </c>
      <c r="R16" t="str">
        <f t="shared" si="75"/>
        <v/>
      </c>
      <c r="S16" t="str">
        <f t="shared" si="76"/>
        <v/>
      </c>
      <c r="T16" t="str">
        <f t="shared" si="77"/>
        <v/>
      </c>
      <c r="U16" t="str">
        <f t="shared" si="78"/>
        <v/>
      </c>
      <c r="V16" t="str">
        <f t="shared" si="79"/>
        <v/>
      </c>
      <c r="W16" s="19" t="e">
        <f t="shared" si="80"/>
        <v>#VALUE!</v>
      </c>
      <c r="X16" s="19" t="e">
        <f t="shared" si="81"/>
        <v>#VALUE!</v>
      </c>
      <c r="Y16" s="19" t="e">
        <f t="shared" si="82"/>
        <v>#VALUE!</v>
      </c>
      <c r="Z16" t="str">
        <f t="shared" si="83"/>
        <v/>
      </c>
      <c r="AA16" t="str">
        <f t="shared" si="84"/>
        <v/>
      </c>
      <c r="AB16" t="str">
        <f t="shared" si="85"/>
        <v/>
      </c>
      <c r="AC16" t="str">
        <f t="shared" si="86"/>
        <v/>
      </c>
      <c r="AD16" t="str">
        <f t="shared" si="87"/>
        <v>Начальник участка СУ ООО «КРОСТ-Д» Шевцов А.М., приказ № 1127 от 06.12.2023 г.</v>
      </c>
      <c r="AE16" t="str">
        <f t="shared" si="88"/>
        <v/>
      </c>
      <c r="AF16" t="str">
        <f t="shared" si="89"/>
        <v/>
      </c>
      <c r="AG16" t="str">
        <f t="shared" si="90"/>
        <v/>
      </c>
      <c r="AH16" t="str">
        <f t="shared" si="91"/>
        <v/>
      </c>
      <c r="AI16" t="str">
        <f t="shared" si="92"/>
        <v/>
      </c>
      <c r="AJ16" t="str">
        <f t="shared" si="93"/>
        <v/>
      </c>
      <c r="AK16" t="str">
        <f t="shared" si="94"/>
        <v/>
      </c>
      <c r="AL16" t="str">
        <f t="shared" si="95"/>
        <v/>
      </c>
      <c r="AM16" t="str">
        <f t="shared" si="96"/>
        <v/>
      </c>
      <c r="AN16" t="str">
        <f t="shared" si="97"/>
        <v/>
      </c>
      <c r="AO16" t="str">
        <f t="shared" si="98"/>
        <v/>
      </c>
      <c r="AP16" t="str">
        <f t="shared" si="99"/>
        <v/>
      </c>
      <c r="AQ16" t="str">
        <f t="shared" si="100"/>
        <v/>
      </c>
      <c r="AR16" t="str">
        <f t="shared" si="101"/>
        <v/>
      </c>
      <c r="AS16" t="str">
        <f t="shared" si="102"/>
        <v/>
      </c>
      <c r="AT16" t="str">
        <f t="shared" si="103"/>
        <v/>
      </c>
      <c r="AU16" t="str">
        <f t="shared" si="104"/>
        <v/>
      </c>
      <c r="AV16">
        <f t="shared" si="105"/>
        <v>0</v>
      </c>
      <c r="AW16">
        <f t="shared" si="106"/>
        <v>0</v>
      </c>
      <c r="AX16">
        <f t="shared" si="107"/>
        <v>0</v>
      </c>
      <c r="AY16">
        <f t="shared" si="108"/>
        <v>0</v>
      </c>
      <c r="AZ16">
        <f t="shared" si="109"/>
        <v>0</v>
      </c>
      <c r="BA16" t="str">
        <f>CONCATENATE(IF(AV16=0,"",AV16),IF(AW16=0,""," "&amp;АОСР[[#Headers],[в интервале]]&amp;" "&amp;AW16),IF(AX16=0,""," "&amp;АОСР[[#Headers],[колодцев]]&amp;" "&amp;AX16),IF(AY16=0,""," ("&amp;AY16),IF(AZ16=0,""," "&amp;AZ16&amp;")"),IF(OR(AV16=0,AY16&lt;&gt;0,AZ16&lt;&gt;0),")",""))</f>
        <v>)</v>
      </c>
      <c r="BB16" t="str">
        <f t="shared" si="110"/>
        <v/>
      </c>
      <c r="BC16" t="str">
        <f t="shared" si="111"/>
        <v/>
      </c>
      <c r="BD16" t="str">
        <f t="shared" si="112"/>
        <v/>
      </c>
      <c r="BE16" t="str">
        <f t="shared" si="112"/>
        <v/>
      </c>
      <c r="BF16" t="str">
        <f t="shared" si="113"/>
        <v/>
      </c>
      <c r="BG16" s="19" t="e">
        <f t="shared" si="114"/>
        <v>#VALUE!</v>
      </c>
      <c r="BH16" s="19" t="e">
        <f t="shared" si="115"/>
        <v>#VALUE!</v>
      </c>
      <c r="BI16" s="19" t="e">
        <f t="shared" si="116"/>
        <v>#VALUE!</v>
      </c>
      <c r="BJ16" t="str">
        <f t="shared" si="117"/>
        <v/>
      </c>
      <c r="BK16" s="19" t="e">
        <f t="shared" si="118"/>
        <v>#VALUE!</v>
      </c>
      <c r="BL16" s="19" t="e">
        <f t="shared" si="119"/>
        <v>#VALUE!</v>
      </c>
      <c r="BM16" s="19" t="e">
        <f t="shared" si="120"/>
        <v>#VALUE!</v>
      </c>
      <c r="BN16" t="str">
        <f>IF(ISBLANK(_всоответствии_реквизиты),"",CONCATENATE(_всоответствии_реквизиты,IF(ISBLANK(АОСР[СНИП]),"","; "&amp;АОСР[СНИП])))</f>
        <v/>
      </c>
      <c r="BO16" t="str">
        <f t="shared" si="121"/>
        <v/>
      </c>
      <c r="BP16" t="str">
        <f t="shared" si="122"/>
        <v/>
      </c>
      <c r="BQ16" t="str">
        <f t="shared" si="123"/>
        <v/>
      </c>
      <c r="BR16" t="str">
        <f t="shared" si="124"/>
        <v/>
      </c>
      <c r="BS16" t="str">
        <f t="shared" si="125"/>
        <v/>
      </c>
      <c r="BT16" t="str">
        <f t="shared" si="126"/>
        <v/>
      </c>
      <c r="BU16" t="str">
        <f t="shared" si="127"/>
        <v/>
      </c>
      <c r="BV16" t="str">
        <f>IF(LEN(Таблица1[Накта])&gt;60,
    LEFT(Таблица1[Накта],30),
    Таблица1[Накта])</f>
        <v/>
      </c>
      <c r="BW16" t="str">
        <f>IF(ISBLANK(_№ппАОСР),"",_№ппАОСР)</f>
        <v/>
      </c>
    </row>
    <row r="17" spans="1:75" x14ac:dyDescent="0.25">
      <c r="A17" s="29">
        <f>Таблица1[впечать]</f>
        <v>0</v>
      </c>
      <c r="B17" s="29">
        <f t="shared" si="59"/>
        <v>0</v>
      </c>
      <c r="C17" t="str">
        <f t="shared" si="60"/>
        <v/>
      </c>
      <c r="D17" t="str">
        <f t="shared" si="61"/>
        <v/>
      </c>
      <c r="E17" t="str">
        <f t="shared" si="62"/>
        <v/>
      </c>
      <c r="F17" t="str">
        <f t="shared" si="63"/>
        <v/>
      </c>
      <c r="G17" t="str">
        <f t="shared" si="64"/>
        <v/>
      </c>
      <c r="H17" t="str">
        <f t="shared" si="65"/>
        <v/>
      </c>
      <c r="I17" t="str">
        <f t="shared" si="66"/>
        <v/>
      </c>
      <c r="J17" t="str">
        <f t="shared" si="67"/>
        <v/>
      </c>
      <c r="K17" t="str">
        <f t="shared" si="68"/>
        <v/>
      </c>
      <c r="L17" t="str">
        <f t="shared" si="69"/>
        <v/>
      </c>
      <c r="M17" t="str">
        <f t="shared" si="70"/>
        <v/>
      </c>
      <c r="N17" t="str">
        <f t="shared" si="71"/>
        <v/>
      </c>
      <c r="O17" t="str">
        <f t="shared" si="72"/>
        <v/>
      </c>
      <c r="P17" t="str">
        <f t="shared" si="73"/>
        <v/>
      </c>
      <c r="Q17" t="str">
        <f t="shared" si="74"/>
        <v/>
      </c>
      <c r="R17" t="str">
        <f t="shared" si="75"/>
        <v/>
      </c>
      <c r="S17" t="str">
        <f t="shared" si="76"/>
        <v/>
      </c>
      <c r="T17" t="str">
        <f t="shared" si="77"/>
        <v/>
      </c>
      <c r="U17" t="str">
        <f t="shared" si="78"/>
        <v/>
      </c>
      <c r="V17" t="str">
        <f t="shared" si="79"/>
        <v/>
      </c>
      <c r="W17" s="19" t="e">
        <f t="shared" si="80"/>
        <v>#VALUE!</v>
      </c>
      <c r="X17" s="19" t="e">
        <f t="shared" si="81"/>
        <v>#VALUE!</v>
      </c>
      <c r="Y17" s="19" t="e">
        <f t="shared" si="82"/>
        <v>#VALUE!</v>
      </c>
      <c r="Z17" t="str">
        <f t="shared" si="83"/>
        <v/>
      </c>
      <c r="AA17" t="str">
        <f t="shared" si="84"/>
        <v/>
      </c>
      <c r="AB17" t="str">
        <f t="shared" si="85"/>
        <v/>
      </c>
      <c r="AC17" t="str">
        <f t="shared" si="86"/>
        <v/>
      </c>
      <c r="AD17" t="str">
        <f t="shared" si="87"/>
        <v>Начальник участка СУ ООО «КРОСТ-Д» Шевцов А.М., приказ № 1127 от 06.12.2023 г.</v>
      </c>
      <c r="AE17" t="str">
        <f t="shared" si="88"/>
        <v/>
      </c>
      <c r="AF17" t="str">
        <f t="shared" si="89"/>
        <v/>
      </c>
      <c r="AG17" t="str">
        <f t="shared" si="90"/>
        <v/>
      </c>
      <c r="AH17" t="str">
        <f t="shared" si="91"/>
        <v/>
      </c>
      <c r="AI17" t="str">
        <f t="shared" si="92"/>
        <v/>
      </c>
      <c r="AJ17" t="str">
        <f t="shared" si="93"/>
        <v/>
      </c>
      <c r="AK17" t="str">
        <f t="shared" si="94"/>
        <v/>
      </c>
      <c r="AL17" t="str">
        <f t="shared" si="95"/>
        <v/>
      </c>
      <c r="AM17" t="str">
        <f t="shared" si="96"/>
        <v/>
      </c>
      <c r="AN17" t="str">
        <f t="shared" si="97"/>
        <v/>
      </c>
      <c r="AO17" t="str">
        <f t="shared" si="98"/>
        <v/>
      </c>
      <c r="AP17" t="str">
        <f t="shared" si="99"/>
        <v/>
      </c>
      <c r="AQ17" t="str">
        <f t="shared" si="100"/>
        <v/>
      </c>
      <c r="AR17" t="str">
        <f t="shared" si="101"/>
        <v/>
      </c>
      <c r="AS17" t="str">
        <f t="shared" si="102"/>
        <v/>
      </c>
      <c r="AT17" t="str">
        <f t="shared" si="103"/>
        <v/>
      </c>
      <c r="AU17" t="str">
        <f t="shared" si="104"/>
        <v/>
      </c>
      <c r="AV17">
        <f t="shared" si="105"/>
        <v>0</v>
      </c>
      <c r="AW17">
        <f t="shared" si="106"/>
        <v>0</v>
      </c>
      <c r="AX17">
        <f t="shared" si="107"/>
        <v>0</v>
      </c>
      <c r="AY17">
        <f t="shared" si="108"/>
        <v>0</v>
      </c>
      <c r="AZ17">
        <f t="shared" si="109"/>
        <v>0</v>
      </c>
      <c r="BA17" t="str">
        <f>CONCATENATE(IF(AV17=0,"",AV17),IF(AW17=0,""," "&amp;АОСР[[#Headers],[в интервале]]&amp;" "&amp;AW17),IF(AX17=0,""," "&amp;АОСР[[#Headers],[колодцев]]&amp;" "&amp;AX17),IF(AY17=0,""," ("&amp;AY17),IF(AZ17=0,""," "&amp;AZ17&amp;")"),IF(OR(AV17=0,AY17&lt;&gt;0,AZ17&lt;&gt;0),")",""))</f>
        <v>)</v>
      </c>
      <c r="BB17" t="str">
        <f t="shared" si="110"/>
        <v/>
      </c>
      <c r="BC17" t="str">
        <f t="shared" si="111"/>
        <v/>
      </c>
      <c r="BD17" t="str">
        <f t="shared" si="112"/>
        <v/>
      </c>
      <c r="BE17" t="str">
        <f t="shared" si="112"/>
        <v/>
      </c>
      <c r="BF17" t="str">
        <f t="shared" si="113"/>
        <v/>
      </c>
      <c r="BG17" s="19" t="e">
        <f t="shared" si="114"/>
        <v>#VALUE!</v>
      </c>
      <c r="BH17" s="19" t="e">
        <f t="shared" si="115"/>
        <v>#VALUE!</v>
      </c>
      <c r="BI17" s="19" t="e">
        <f t="shared" si="116"/>
        <v>#VALUE!</v>
      </c>
      <c r="BJ17" t="str">
        <f t="shared" si="117"/>
        <v/>
      </c>
      <c r="BK17" s="19" t="e">
        <f t="shared" si="118"/>
        <v>#VALUE!</v>
      </c>
      <c r="BL17" s="19" t="e">
        <f t="shared" si="119"/>
        <v>#VALUE!</v>
      </c>
      <c r="BM17" s="19" t="e">
        <f t="shared" si="120"/>
        <v>#VALUE!</v>
      </c>
      <c r="BN17" t="str">
        <f>IF(ISBLANK(_всоответствии_реквизиты),"",CONCATENATE(_всоответствии_реквизиты,IF(ISBLANK(АОСР[СНИП]),"","; "&amp;АОСР[СНИП])))</f>
        <v/>
      </c>
      <c r="BO17" t="str">
        <f t="shared" si="121"/>
        <v/>
      </c>
      <c r="BP17" t="str">
        <f t="shared" si="122"/>
        <v/>
      </c>
      <c r="BQ17" t="str">
        <f t="shared" si="123"/>
        <v/>
      </c>
      <c r="BR17" t="str">
        <f t="shared" si="124"/>
        <v/>
      </c>
      <c r="BS17" t="str">
        <f t="shared" si="125"/>
        <v/>
      </c>
      <c r="BT17" t="str">
        <f t="shared" si="126"/>
        <v/>
      </c>
      <c r="BU17" t="str">
        <f t="shared" si="127"/>
        <v/>
      </c>
      <c r="BV17" t="str">
        <f>IF(LEN(Таблица1[Накта])&gt;60,
    LEFT(Таблица1[Накта],30),
    Таблица1[Накта])</f>
        <v/>
      </c>
      <c r="BW17" t="str">
        <f>IF(ISBLANK(_№ппАОСР),"",_№ппАОСР)</f>
        <v/>
      </c>
    </row>
    <row r="18" spans="1:75" x14ac:dyDescent="0.25">
      <c r="A18" s="29">
        <f>Таблица1[впечать]</f>
        <v>0</v>
      </c>
      <c r="B18" s="29">
        <f t="shared" si="59"/>
        <v>0</v>
      </c>
      <c r="C18" t="str">
        <f t="shared" si="60"/>
        <v/>
      </c>
      <c r="D18" t="str">
        <f t="shared" si="61"/>
        <v/>
      </c>
      <c r="E18" t="str">
        <f t="shared" si="62"/>
        <v/>
      </c>
      <c r="F18" t="str">
        <f t="shared" si="63"/>
        <v/>
      </c>
      <c r="G18" t="str">
        <f t="shared" si="64"/>
        <v/>
      </c>
      <c r="H18" t="str">
        <f t="shared" si="65"/>
        <v/>
      </c>
      <c r="I18" t="str">
        <f t="shared" si="66"/>
        <v/>
      </c>
      <c r="J18" t="str">
        <f t="shared" si="67"/>
        <v/>
      </c>
      <c r="K18" t="str">
        <f t="shared" si="68"/>
        <v/>
      </c>
      <c r="L18" t="str">
        <f t="shared" si="69"/>
        <v/>
      </c>
      <c r="M18" t="str">
        <f t="shared" si="70"/>
        <v/>
      </c>
      <c r="N18" t="str">
        <f t="shared" si="71"/>
        <v/>
      </c>
      <c r="O18" t="str">
        <f t="shared" si="72"/>
        <v/>
      </c>
      <c r="P18" t="str">
        <f t="shared" si="73"/>
        <v/>
      </c>
      <c r="Q18" t="str">
        <f t="shared" si="74"/>
        <v/>
      </c>
      <c r="R18" t="str">
        <f t="shared" si="75"/>
        <v/>
      </c>
      <c r="S18" t="str">
        <f t="shared" si="76"/>
        <v/>
      </c>
      <c r="T18" t="str">
        <f t="shared" si="77"/>
        <v/>
      </c>
      <c r="U18" t="str">
        <f t="shared" si="78"/>
        <v/>
      </c>
      <c r="V18" t="str">
        <f t="shared" si="79"/>
        <v/>
      </c>
      <c r="W18" s="19" t="e">
        <f t="shared" si="80"/>
        <v>#VALUE!</v>
      </c>
      <c r="X18" s="19" t="e">
        <f t="shared" si="81"/>
        <v>#VALUE!</v>
      </c>
      <c r="Y18" s="19" t="e">
        <f t="shared" si="82"/>
        <v>#VALUE!</v>
      </c>
      <c r="Z18" t="str">
        <f t="shared" si="83"/>
        <v/>
      </c>
      <c r="AA18" t="str">
        <f t="shared" si="84"/>
        <v/>
      </c>
      <c r="AB18" t="str">
        <f t="shared" si="85"/>
        <v/>
      </c>
      <c r="AC18" t="str">
        <f t="shared" si="86"/>
        <v/>
      </c>
      <c r="AD18" t="str">
        <f t="shared" si="87"/>
        <v>Начальник участка СУ ООО «КРОСТ-Д» Шевцов А.М., приказ № 1127 от 06.12.2023 г.</v>
      </c>
      <c r="AE18" t="str">
        <f t="shared" si="88"/>
        <v/>
      </c>
      <c r="AF18" t="str">
        <f t="shared" si="89"/>
        <v/>
      </c>
      <c r="AG18" t="str">
        <f t="shared" si="90"/>
        <v/>
      </c>
      <c r="AH18" t="str">
        <f t="shared" si="91"/>
        <v/>
      </c>
      <c r="AI18" t="str">
        <f t="shared" si="92"/>
        <v/>
      </c>
      <c r="AJ18" t="str">
        <f t="shared" si="93"/>
        <v/>
      </c>
      <c r="AK18" t="str">
        <f t="shared" si="94"/>
        <v/>
      </c>
      <c r="AL18" t="str">
        <f t="shared" si="95"/>
        <v/>
      </c>
      <c r="AM18" t="str">
        <f t="shared" si="96"/>
        <v/>
      </c>
      <c r="AN18" t="str">
        <f t="shared" si="97"/>
        <v/>
      </c>
      <c r="AO18" t="str">
        <f t="shared" si="98"/>
        <v/>
      </c>
      <c r="AP18" t="str">
        <f t="shared" si="99"/>
        <v/>
      </c>
      <c r="AQ18" t="str">
        <f t="shared" si="100"/>
        <v/>
      </c>
      <c r="AR18" t="str">
        <f t="shared" si="101"/>
        <v/>
      </c>
      <c r="AS18" t="str">
        <f t="shared" si="102"/>
        <v/>
      </c>
      <c r="AT18" t="str">
        <f t="shared" si="103"/>
        <v/>
      </c>
      <c r="AU18" t="str">
        <f t="shared" si="104"/>
        <v/>
      </c>
      <c r="AV18">
        <f t="shared" si="105"/>
        <v>0</v>
      </c>
      <c r="AW18">
        <f t="shared" si="106"/>
        <v>0</v>
      </c>
      <c r="AX18">
        <f t="shared" si="107"/>
        <v>0</v>
      </c>
      <c r="AY18">
        <f t="shared" si="108"/>
        <v>0</v>
      </c>
      <c r="AZ18">
        <f t="shared" si="109"/>
        <v>0</v>
      </c>
      <c r="BA18" t="str">
        <f>CONCATENATE(IF(AV18=0,"",AV18),IF(AW18=0,""," "&amp;АОСР[[#Headers],[в интервале]]&amp;" "&amp;AW18),IF(AX18=0,""," "&amp;АОСР[[#Headers],[колодцев]]&amp;" "&amp;AX18),IF(AY18=0,""," ("&amp;AY18),IF(AZ18=0,""," "&amp;AZ18&amp;")"),IF(OR(AV18=0,AY18&lt;&gt;0,AZ18&lt;&gt;0),")",""))</f>
        <v>)</v>
      </c>
      <c r="BB18" t="str">
        <f t="shared" si="110"/>
        <v/>
      </c>
      <c r="BC18" t="str">
        <f t="shared" si="111"/>
        <v/>
      </c>
      <c r="BD18" t="str">
        <f t="shared" si="112"/>
        <v/>
      </c>
      <c r="BE18" t="str">
        <f t="shared" si="112"/>
        <v/>
      </c>
      <c r="BF18" t="str">
        <f t="shared" si="113"/>
        <v/>
      </c>
      <c r="BG18" s="19" t="e">
        <f t="shared" si="114"/>
        <v>#VALUE!</v>
      </c>
      <c r="BH18" s="19" t="e">
        <f t="shared" si="115"/>
        <v>#VALUE!</v>
      </c>
      <c r="BI18" s="19" t="e">
        <f t="shared" si="116"/>
        <v>#VALUE!</v>
      </c>
      <c r="BJ18" t="str">
        <f t="shared" si="117"/>
        <v/>
      </c>
      <c r="BK18" s="19" t="e">
        <f t="shared" si="118"/>
        <v>#VALUE!</v>
      </c>
      <c r="BL18" s="19" t="e">
        <f t="shared" si="119"/>
        <v>#VALUE!</v>
      </c>
      <c r="BM18" s="19" t="e">
        <f t="shared" si="120"/>
        <v>#VALUE!</v>
      </c>
      <c r="BN18" t="str">
        <f>IF(ISBLANK(_всоответствии_реквизиты),"",CONCATENATE(_всоответствии_реквизиты,IF(ISBLANK(АОСР[СНИП]),"","; "&amp;АОСР[СНИП])))</f>
        <v/>
      </c>
      <c r="BO18" t="str">
        <f t="shared" si="121"/>
        <v/>
      </c>
      <c r="BP18" t="str">
        <f t="shared" si="122"/>
        <v/>
      </c>
      <c r="BQ18" t="str">
        <f t="shared" si="123"/>
        <v/>
      </c>
      <c r="BR18" t="str">
        <f t="shared" si="124"/>
        <v/>
      </c>
      <c r="BS18" t="str">
        <f t="shared" si="125"/>
        <v/>
      </c>
      <c r="BT18" t="str">
        <f t="shared" si="126"/>
        <v/>
      </c>
      <c r="BU18" t="str">
        <f t="shared" si="127"/>
        <v/>
      </c>
      <c r="BV18" t="str">
        <f>IF(LEN(Таблица1[Накта])&gt;60,
    LEFT(Таблица1[Накта],30),
    Таблица1[Накта])</f>
        <v/>
      </c>
      <c r="BW18" t="str">
        <f>IF(ISBLANK(_№ппАОСР),"",_№ппАОСР)</f>
        <v/>
      </c>
    </row>
    <row r="19" spans="1:75" x14ac:dyDescent="0.25">
      <c r="A19" s="29">
        <f>Таблица1[впечать]</f>
        <v>0</v>
      </c>
      <c r="B19" s="29">
        <f t="shared" si="59"/>
        <v>0</v>
      </c>
      <c r="C19" t="str">
        <f t="shared" si="60"/>
        <v/>
      </c>
      <c r="D19" t="str">
        <f t="shared" si="61"/>
        <v/>
      </c>
      <c r="E19" t="str">
        <f t="shared" si="62"/>
        <v/>
      </c>
      <c r="F19" t="str">
        <f t="shared" si="63"/>
        <v/>
      </c>
      <c r="G19" t="str">
        <f t="shared" si="64"/>
        <v/>
      </c>
      <c r="H19" t="str">
        <f t="shared" si="65"/>
        <v/>
      </c>
      <c r="I19" t="str">
        <f t="shared" si="66"/>
        <v/>
      </c>
      <c r="J19" t="str">
        <f t="shared" si="67"/>
        <v/>
      </c>
      <c r="K19" t="str">
        <f t="shared" si="68"/>
        <v/>
      </c>
      <c r="L19" t="str">
        <f t="shared" si="69"/>
        <v/>
      </c>
      <c r="M19" t="str">
        <f t="shared" si="70"/>
        <v/>
      </c>
      <c r="N19" t="str">
        <f t="shared" si="71"/>
        <v/>
      </c>
      <c r="O19" t="str">
        <f t="shared" si="72"/>
        <v/>
      </c>
      <c r="P19" t="str">
        <f t="shared" si="73"/>
        <v/>
      </c>
      <c r="Q19" t="str">
        <f t="shared" si="74"/>
        <v/>
      </c>
      <c r="R19" t="str">
        <f t="shared" si="75"/>
        <v/>
      </c>
      <c r="S19" t="str">
        <f t="shared" si="76"/>
        <v/>
      </c>
      <c r="T19" t="str">
        <f t="shared" si="77"/>
        <v/>
      </c>
      <c r="U19" t="str">
        <f t="shared" si="78"/>
        <v/>
      </c>
      <c r="V19" t="str">
        <f t="shared" si="79"/>
        <v/>
      </c>
      <c r="W19" s="19" t="e">
        <f t="shared" si="80"/>
        <v>#VALUE!</v>
      </c>
      <c r="X19" s="19" t="e">
        <f t="shared" si="81"/>
        <v>#VALUE!</v>
      </c>
      <c r="Y19" s="19" t="e">
        <f t="shared" si="82"/>
        <v>#VALUE!</v>
      </c>
      <c r="Z19" t="str">
        <f t="shared" si="83"/>
        <v/>
      </c>
      <c r="AA19" t="str">
        <f t="shared" si="84"/>
        <v/>
      </c>
      <c r="AB19" t="str">
        <f t="shared" si="85"/>
        <v/>
      </c>
      <c r="AC19" t="str">
        <f t="shared" si="86"/>
        <v/>
      </c>
      <c r="AD19" t="str">
        <f t="shared" si="87"/>
        <v>Начальник участка СУ ООО «КРОСТ-Д» Шевцов А.М., приказ № 1127 от 06.12.2023 г.</v>
      </c>
      <c r="AE19" t="str">
        <f t="shared" si="88"/>
        <v/>
      </c>
      <c r="AF19" t="str">
        <f t="shared" si="89"/>
        <v/>
      </c>
      <c r="AG19" t="str">
        <f t="shared" si="90"/>
        <v/>
      </c>
      <c r="AH19" t="str">
        <f t="shared" si="91"/>
        <v/>
      </c>
      <c r="AI19" t="str">
        <f t="shared" si="92"/>
        <v/>
      </c>
      <c r="AJ19" t="str">
        <f t="shared" si="93"/>
        <v/>
      </c>
      <c r="AK19" t="str">
        <f t="shared" si="94"/>
        <v/>
      </c>
      <c r="AL19" t="str">
        <f t="shared" si="95"/>
        <v/>
      </c>
      <c r="AM19" t="str">
        <f t="shared" si="96"/>
        <v/>
      </c>
      <c r="AN19" t="str">
        <f t="shared" si="97"/>
        <v/>
      </c>
      <c r="AO19" t="str">
        <f t="shared" si="98"/>
        <v/>
      </c>
      <c r="AP19" t="str">
        <f t="shared" si="99"/>
        <v/>
      </c>
      <c r="AQ19" t="str">
        <f t="shared" si="100"/>
        <v/>
      </c>
      <c r="AR19" t="str">
        <f t="shared" si="101"/>
        <v/>
      </c>
      <c r="AS19" t="str">
        <f t="shared" si="102"/>
        <v/>
      </c>
      <c r="AT19" t="str">
        <f t="shared" si="103"/>
        <v/>
      </c>
      <c r="AU19" t="str">
        <f t="shared" si="104"/>
        <v/>
      </c>
      <c r="AV19">
        <f t="shared" si="105"/>
        <v>0</v>
      </c>
      <c r="AW19">
        <f t="shared" si="106"/>
        <v>0</v>
      </c>
      <c r="AX19">
        <f t="shared" si="107"/>
        <v>0</v>
      </c>
      <c r="AY19">
        <f t="shared" si="108"/>
        <v>0</v>
      </c>
      <c r="AZ19">
        <f t="shared" si="109"/>
        <v>0</v>
      </c>
      <c r="BA19" t="str">
        <f>CONCATENATE(IF(AV19=0,"",AV19),IF(AW19=0,""," "&amp;АОСР[[#Headers],[в интервале]]&amp;" "&amp;AW19),IF(AX19=0,""," "&amp;АОСР[[#Headers],[колодцев]]&amp;" "&amp;AX19),IF(AY19=0,""," ("&amp;AY19),IF(AZ19=0,""," "&amp;AZ19&amp;")"),IF(OR(AV19=0,AY19&lt;&gt;0,AZ19&lt;&gt;0),")",""))</f>
        <v>)</v>
      </c>
      <c r="BB19" t="str">
        <f t="shared" si="110"/>
        <v/>
      </c>
      <c r="BC19" t="str">
        <f t="shared" si="111"/>
        <v/>
      </c>
      <c r="BD19" t="str">
        <f t="shared" si="112"/>
        <v/>
      </c>
      <c r="BE19" t="str">
        <f t="shared" si="112"/>
        <v/>
      </c>
      <c r="BF19" t="str">
        <f t="shared" si="113"/>
        <v/>
      </c>
      <c r="BG19" s="19" t="e">
        <f t="shared" si="114"/>
        <v>#VALUE!</v>
      </c>
      <c r="BH19" s="19" t="e">
        <f t="shared" si="115"/>
        <v>#VALUE!</v>
      </c>
      <c r="BI19" s="19" t="e">
        <f t="shared" si="116"/>
        <v>#VALUE!</v>
      </c>
      <c r="BJ19" t="str">
        <f t="shared" si="117"/>
        <v/>
      </c>
      <c r="BK19" s="19" t="e">
        <f t="shared" si="118"/>
        <v>#VALUE!</v>
      </c>
      <c r="BL19" s="19" t="e">
        <f t="shared" si="119"/>
        <v>#VALUE!</v>
      </c>
      <c r="BM19" s="19" t="e">
        <f t="shared" si="120"/>
        <v>#VALUE!</v>
      </c>
      <c r="BN19" t="str">
        <f>IF(ISBLANK(_всоответствии_реквизиты),"",CONCATENATE(_всоответствии_реквизиты,IF(ISBLANK(АОСР[СНИП]),"","; "&amp;АОСР[СНИП])))</f>
        <v/>
      </c>
      <c r="BO19" t="str">
        <f t="shared" si="121"/>
        <v/>
      </c>
      <c r="BP19" t="str">
        <f t="shared" si="122"/>
        <v/>
      </c>
      <c r="BQ19" t="str">
        <f t="shared" si="123"/>
        <v/>
      </c>
      <c r="BR19" t="str">
        <f t="shared" si="124"/>
        <v/>
      </c>
      <c r="BS19" t="str">
        <f t="shared" si="125"/>
        <v/>
      </c>
      <c r="BT19" t="str">
        <f t="shared" si="126"/>
        <v/>
      </c>
      <c r="BU19" t="str">
        <f t="shared" si="127"/>
        <v/>
      </c>
      <c r="BV19" t="str">
        <f>IF(LEN(Таблица1[Накта])&gt;60,
    LEFT(Таблица1[Накта],30),
    Таблица1[Накта])</f>
        <v/>
      </c>
      <c r="BW19" t="str">
        <f>IF(ISBLANK(_№ппАОСР),"",_№ппАОСР)</f>
        <v/>
      </c>
    </row>
    <row r="20" spans="1:75" x14ac:dyDescent="0.25">
      <c r="A20" s="29">
        <f>Таблица1[впечать]</f>
        <v>0</v>
      </c>
      <c r="B20" s="29">
        <f t="shared" si="59"/>
        <v>0</v>
      </c>
      <c r="C20" t="str">
        <f t="shared" si="60"/>
        <v/>
      </c>
      <c r="D20" t="str">
        <f t="shared" si="61"/>
        <v/>
      </c>
      <c r="E20" t="str">
        <f t="shared" si="62"/>
        <v/>
      </c>
      <c r="F20" t="str">
        <f t="shared" si="63"/>
        <v/>
      </c>
      <c r="G20" t="str">
        <f t="shared" si="64"/>
        <v/>
      </c>
      <c r="H20" t="str">
        <f t="shared" si="65"/>
        <v/>
      </c>
      <c r="I20" t="str">
        <f t="shared" si="66"/>
        <v/>
      </c>
      <c r="J20" t="str">
        <f t="shared" si="67"/>
        <v/>
      </c>
      <c r="K20" t="str">
        <f t="shared" si="68"/>
        <v/>
      </c>
      <c r="L20" t="str">
        <f t="shared" si="69"/>
        <v/>
      </c>
      <c r="M20" t="str">
        <f t="shared" si="70"/>
        <v/>
      </c>
      <c r="N20" t="str">
        <f t="shared" si="71"/>
        <v/>
      </c>
      <c r="O20" t="str">
        <f t="shared" si="72"/>
        <v/>
      </c>
      <c r="P20" t="str">
        <f t="shared" si="73"/>
        <v/>
      </c>
      <c r="Q20" t="str">
        <f t="shared" si="74"/>
        <v/>
      </c>
      <c r="R20" t="str">
        <f t="shared" si="75"/>
        <v/>
      </c>
      <c r="S20" t="str">
        <f t="shared" si="76"/>
        <v/>
      </c>
      <c r="T20" t="str">
        <f t="shared" si="77"/>
        <v/>
      </c>
      <c r="U20" t="str">
        <f t="shared" si="78"/>
        <v/>
      </c>
      <c r="V20" t="str">
        <f t="shared" si="79"/>
        <v/>
      </c>
      <c r="W20" s="19" t="e">
        <f t="shared" si="80"/>
        <v>#VALUE!</v>
      </c>
      <c r="X20" s="19" t="e">
        <f t="shared" si="81"/>
        <v>#VALUE!</v>
      </c>
      <c r="Y20" s="19" t="e">
        <f t="shared" si="82"/>
        <v>#VALUE!</v>
      </c>
      <c r="Z20" t="str">
        <f t="shared" si="83"/>
        <v/>
      </c>
      <c r="AA20" t="str">
        <f t="shared" si="84"/>
        <v/>
      </c>
      <c r="AB20" t="str">
        <f t="shared" si="85"/>
        <v/>
      </c>
      <c r="AC20" t="str">
        <f t="shared" si="86"/>
        <v/>
      </c>
      <c r="AD20" t="str">
        <f t="shared" si="87"/>
        <v>Начальник участка СУ ООО «КРОСТ-Д» Шевцов А.М., приказ № 1127 от 06.12.2023 г.</v>
      </c>
      <c r="AE20" t="str">
        <f t="shared" si="88"/>
        <v/>
      </c>
      <c r="AF20" t="str">
        <f t="shared" si="89"/>
        <v/>
      </c>
      <c r="AG20" t="str">
        <f t="shared" si="90"/>
        <v/>
      </c>
      <c r="AH20" t="str">
        <f t="shared" si="91"/>
        <v/>
      </c>
      <c r="AI20" t="str">
        <f t="shared" si="92"/>
        <v/>
      </c>
      <c r="AJ20" t="str">
        <f t="shared" si="93"/>
        <v/>
      </c>
      <c r="AK20" t="str">
        <f t="shared" si="94"/>
        <v/>
      </c>
      <c r="AL20" t="str">
        <f t="shared" si="95"/>
        <v/>
      </c>
      <c r="AM20" t="str">
        <f t="shared" si="96"/>
        <v/>
      </c>
      <c r="AN20" t="str">
        <f t="shared" si="97"/>
        <v/>
      </c>
      <c r="AO20" t="str">
        <f t="shared" si="98"/>
        <v/>
      </c>
      <c r="AP20" t="str">
        <f t="shared" si="99"/>
        <v/>
      </c>
      <c r="AQ20" t="str">
        <f t="shared" si="100"/>
        <v/>
      </c>
      <c r="AR20" t="str">
        <f t="shared" si="101"/>
        <v/>
      </c>
      <c r="AS20" t="str">
        <f t="shared" si="102"/>
        <v/>
      </c>
      <c r="AT20" t="str">
        <f t="shared" si="103"/>
        <v/>
      </c>
      <c r="AU20" t="str">
        <f t="shared" si="104"/>
        <v/>
      </c>
      <c r="AV20">
        <f t="shared" si="105"/>
        <v>0</v>
      </c>
      <c r="AW20">
        <f t="shared" si="106"/>
        <v>0</v>
      </c>
      <c r="AX20">
        <f t="shared" si="107"/>
        <v>0</v>
      </c>
      <c r="AY20">
        <f t="shared" si="108"/>
        <v>0</v>
      </c>
      <c r="AZ20">
        <f t="shared" si="109"/>
        <v>0</v>
      </c>
      <c r="BA20" t="str">
        <f>CONCATENATE(IF(AV20=0,"",AV20),IF(AW20=0,""," "&amp;АОСР[[#Headers],[в интервале]]&amp;" "&amp;AW20),IF(AX20=0,""," "&amp;АОСР[[#Headers],[колодцев]]&amp;" "&amp;AX20),IF(AY20=0,""," ("&amp;AY20),IF(AZ20=0,""," "&amp;AZ20&amp;")"),IF(OR(AV20=0,AY20&lt;&gt;0,AZ20&lt;&gt;0),")",""))</f>
        <v>)</v>
      </c>
      <c r="BB20" t="str">
        <f t="shared" si="110"/>
        <v/>
      </c>
      <c r="BC20" t="str">
        <f t="shared" si="111"/>
        <v/>
      </c>
      <c r="BD20" t="str">
        <f t="shared" si="112"/>
        <v/>
      </c>
      <c r="BE20" t="str">
        <f t="shared" si="112"/>
        <v/>
      </c>
      <c r="BF20" t="str">
        <f t="shared" si="113"/>
        <v/>
      </c>
      <c r="BG20" s="19" t="e">
        <f t="shared" si="114"/>
        <v>#VALUE!</v>
      </c>
      <c r="BH20" s="19" t="e">
        <f t="shared" si="115"/>
        <v>#VALUE!</v>
      </c>
      <c r="BI20" s="19" t="e">
        <f t="shared" si="116"/>
        <v>#VALUE!</v>
      </c>
      <c r="BJ20" t="str">
        <f t="shared" si="117"/>
        <v/>
      </c>
      <c r="BK20" s="19" t="e">
        <f t="shared" si="118"/>
        <v>#VALUE!</v>
      </c>
      <c r="BL20" s="19" t="e">
        <f t="shared" si="119"/>
        <v>#VALUE!</v>
      </c>
      <c r="BM20" s="19" t="e">
        <f t="shared" si="120"/>
        <v>#VALUE!</v>
      </c>
      <c r="BN20" t="str">
        <f>IF(ISBLANK(_всоответствии_реквизиты),"",CONCATENATE(_всоответствии_реквизиты,IF(ISBLANK(АОСР[СНИП]),"","; "&amp;АОСР[СНИП])))</f>
        <v/>
      </c>
      <c r="BO20" t="str">
        <f t="shared" si="121"/>
        <v/>
      </c>
      <c r="BP20" t="str">
        <f t="shared" si="122"/>
        <v/>
      </c>
      <c r="BQ20" t="str">
        <f t="shared" si="123"/>
        <v/>
      </c>
      <c r="BR20" t="str">
        <f t="shared" si="124"/>
        <v/>
      </c>
      <c r="BS20" t="str">
        <f t="shared" si="125"/>
        <v/>
      </c>
      <c r="BT20" t="str">
        <f t="shared" si="126"/>
        <v/>
      </c>
      <c r="BU20" t="str">
        <f t="shared" si="127"/>
        <v/>
      </c>
      <c r="BV20" t="str">
        <f>IF(LEN(Таблица1[Накта])&gt;60,
    LEFT(Таблица1[Накта],30),
    Таблица1[Накта])</f>
        <v/>
      </c>
      <c r="BW20" t="str">
        <f>IF(ISBLANK(_№ппАОСР),"",_№ппАОСР)</f>
        <v/>
      </c>
    </row>
    <row r="21" spans="1:75" x14ac:dyDescent="0.25">
      <c r="A21" s="29">
        <f>Таблица1[впечать]</f>
        <v>0</v>
      </c>
      <c r="B21" s="29">
        <f t="shared" si="59"/>
        <v>0</v>
      </c>
      <c r="C21" t="str">
        <f t="shared" si="60"/>
        <v/>
      </c>
      <c r="D21" t="str">
        <f t="shared" si="61"/>
        <v/>
      </c>
      <c r="E21" t="str">
        <f t="shared" si="62"/>
        <v/>
      </c>
      <c r="F21" t="str">
        <f t="shared" si="63"/>
        <v/>
      </c>
      <c r="G21" t="str">
        <f t="shared" si="64"/>
        <v/>
      </c>
      <c r="H21" t="str">
        <f t="shared" si="65"/>
        <v/>
      </c>
      <c r="I21" t="str">
        <f t="shared" si="66"/>
        <v/>
      </c>
      <c r="J21" t="str">
        <f t="shared" si="67"/>
        <v/>
      </c>
      <c r="K21" t="str">
        <f t="shared" si="68"/>
        <v/>
      </c>
      <c r="L21" t="str">
        <f t="shared" si="69"/>
        <v/>
      </c>
      <c r="M21" t="str">
        <f t="shared" si="70"/>
        <v/>
      </c>
      <c r="N21" t="str">
        <f t="shared" si="71"/>
        <v/>
      </c>
      <c r="O21" t="str">
        <f t="shared" si="72"/>
        <v/>
      </c>
      <c r="P21" t="str">
        <f t="shared" si="73"/>
        <v/>
      </c>
      <c r="Q21" t="str">
        <f t="shared" si="74"/>
        <v/>
      </c>
      <c r="R21" t="str">
        <f t="shared" si="75"/>
        <v/>
      </c>
      <c r="S21" t="str">
        <f t="shared" si="76"/>
        <v/>
      </c>
      <c r="T21" t="str">
        <f t="shared" si="77"/>
        <v/>
      </c>
      <c r="U21" t="str">
        <f t="shared" si="78"/>
        <v/>
      </c>
      <c r="V21" t="str">
        <f t="shared" si="79"/>
        <v/>
      </c>
      <c r="W21" s="19" t="e">
        <f t="shared" si="80"/>
        <v>#VALUE!</v>
      </c>
      <c r="X21" s="19" t="e">
        <f t="shared" si="81"/>
        <v>#VALUE!</v>
      </c>
      <c r="Y21" s="19" t="e">
        <f t="shared" si="82"/>
        <v>#VALUE!</v>
      </c>
      <c r="Z21" t="str">
        <f t="shared" si="83"/>
        <v/>
      </c>
      <c r="AA21" t="str">
        <f t="shared" si="84"/>
        <v/>
      </c>
      <c r="AB21" t="str">
        <f t="shared" si="85"/>
        <v/>
      </c>
      <c r="AC21" t="str">
        <f t="shared" si="86"/>
        <v/>
      </c>
      <c r="AD21" t="str">
        <f t="shared" si="87"/>
        <v>Начальник участка СУ ООО «КРОСТ-Д» Шевцов А.М., приказ № 1127 от 06.12.2023 г.</v>
      </c>
      <c r="AE21" t="str">
        <f t="shared" si="88"/>
        <v/>
      </c>
      <c r="AF21" t="str">
        <f t="shared" si="89"/>
        <v/>
      </c>
      <c r="AG21" t="str">
        <f t="shared" si="90"/>
        <v/>
      </c>
      <c r="AH21" t="str">
        <f t="shared" si="91"/>
        <v/>
      </c>
      <c r="AI21" t="str">
        <f t="shared" si="92"/>
        <v/>
      </c>
      <c r="AJ21" t="str">
        <f t="shared" si="93"/>
        <v/>
      </c>
      <c r="AK21" t="str">
        <f t="shared" si="94"/>
        <v/>
      </c>
      <c r="AL21" t="str">
        <f t="shared" si="95"/>
        <v/>
      </c>
      <c r="AM21" t="str">
        <f t="shared" si="96"/>
        <v/>
      </c>
      <c r="AN21" t="str">
        <f t="shared" si="97"/>
        <v/>
      </c>
      <c r="AO21" t="str">
        <f t="shared" si="98"/>
        <v/>
      </c>
      <c r="AP21" t="str">
        <f t="shared" si="99"/>
        <v/>
      </c>
      <c r="AQ21" t="str">
        <f t="shared" si="100"/>
        <v/>
      </c>
      <c r="AR21" t="str">
        <f t="shared" si="101"/>
        <v/>
      </c>
      <c r="AS21" t="str">
        <f t="shared" si="102"/>
        <v/>
      </c>
      <c r="AT21" t="str">
        <f t="shared" si="103"/>
        <v/>
      </c>
      <c r="AU21" t="str">
        <f t="shared" si="104"/>
        <v/>
      </c>
      <c r="AV21">
        <f t="shared" si="105"/>
        <v>0</v>
      </c>
      <c r="AW21">
        <f t="shared" si="106"/>
        <v>0</v>
      </c>
      <c r="AX21">
        <f t="shared" si="107"/>
        <v>0</v>
      </c>
      <c r="AY21">
        <f t="shared" si="108"/>
        <v>0</v>
      </c>
      <c r="AZ21">
        <f t="shared" si="109"/>
        <v>0</v>
      </c>
      <c r="BA21" t="str">
        <f>CONCATENATE(IF(AV21=0,"",AV21),IF(AW21=0,""," "&amp;АОСР[[#Headers],[в интервале]]&amp;" "&amp;AW21),IF(AX21=0,""," "&amp;АОСР[[#Headers],[колодцев]]&amp;" "&amp;AX21),IF(AY21=0,""," ("&amp;AY21),IF(AZ21=0,""," "&amp;AZ21&amp;")"),IF(OR(AV21=0,AY21&lt;&gt;0,AZ21&lt;&gt;0),")",""))</f>
        <v>)</v>
      </c>
      <c r="BB21" t="str">
        <f t="shared" si="110"/>
        <v/>
      </c>
      <c r="BC21" t="str">
        <f t="shared" si="111"/>
        <v/>
      </c>
      <c r="BD21" t="str">
        <f t="shared" si="112"/>
        <v/>
      </c>
      <c r="BE21" t="str">
        <f t="shared" si="112"/>
        <v/>
      </c>
      <c r="BF21" t="str">
        <f t="shared" si="113"/>
        <v/>
      </c>
      <c r="BG21" s="19" t="e">
        <f t="shared" si="114"/>
        <v>#VALUE!</v>
      </c>
      <c r="BH21" s="19" t="e">
        <f t="shared" si="115"/>
        <v>#VALUE!</v>
      </c>
      <c r="BI21" s="19" t="e">
        <f t="shared" si="116"/>
        <v>#VALUE!</v>
      </c>
      <c r="BJ21" t="str">
        <f t="shared" si="117"/>
        <v/>
      </c>
      <c r="BK21" s="19" t="e">
        <f t="shared" si="118"/>
        <v>#VALUE!</v>
      </c>
      <c r="BL21" s="19" t="e">
        <f t="shared" si="119"/>
        <v>#VALUE!</v>
      </c>
      <c r="BM21" s="19" t="e">
        <f t="shared" si="120"/>
        <v>#VALUE!</v>
      </c>
      <c r="BN21" t="str">
        <f>IF(ISBLANK(_всоответствии_реквизиты),"",CONCATENATE(_всоответствии_реквизиты,IF(ISBLANK(АОСР[СНИП]),"","; "&amp;АОСР[СНИП])))</f>
        <v/>
      </c>
      <c r="BO21" t="str">
        <f t="shared" si="121"/>
        <v/>
      </c>
      <c r="BP21" t="str">
        <f t="shared" si="122"/>
        <v/>
      </c>
      <c r="BQ21" t="str">
        <f t="shared" si="123"/>
        <v/>
      </c>
      <c r="BR21" t="str">
        <f t="shared" si="124"/>
        <v/>
      </c>
      <c r="BS21" t="str">
        <f t="shared" si="125"/>
        <v/>
      </c>
      <c r="BT21" t="str">
        <f t="shared" si="126"/>
        <v/>
      </c>
      <c r="BU21" t="str">
        <f t="shared" si="127"/>
        <v/>
      </c>
      <c r="BV21" t="str">
        <f>IF(LEN(Таблица1[Накта])&gt;60,
    LEFT(Таблица1[Накта],30),
    Таблица1[Накта])</f>
        <v/>
      </c>
      <c r="BW21" t="str">
        <f>IF(ISBLANK(_№ппАОСР),"",_№ппАОСР)</f>
        <v/>
      </c>
    </row>
    <row r="22" spans="1:75" x14ac:dyDescent="0.25">
      <c r="A22" s="29">
        <f>Таблица1[впечать]</f>
        <v>0</v>
      </c>
      <c r="B22" s="29">
        <f t="shared" si="59"/>
        <v>0</v>
      </c>
      <c r="C22" t="str">
        <f t="shared" si="60"/>
        <v/>
      </c>
      <c r="D22" t="str">
        <f t="shared" si="61"/>
        <v/>
      </c>
      <c r="E22" t="str">
        <f t="shared" si="62"/>
        <v/>
      </c>
      <c r="F22" t="str">
        <f t="shared" si="63"/>
        <v/>
      </c>
      <c r="G22" t="str">
        <f t="shared" si="64"/>
        <v/>
      </c>
      <c r="H22" t="str">
        <f t="shared" si="65"/>
        <v/>
      </c>
      <c r="I22" t="str">
        <f t="shared" si="66"/>
        <v/>
      </c>
      <c r="J22" t="str">
        <f t="shared" si="67"/>
        <v/>
      </c>
      <c r="K22" t="str">
        <f t="shared" si="68"/>
        <v/>
      </c>
      <c r="L22" t="str">
        <f t="shared" si="69"/>
        <v/>
      </c>
      <c r="M22" t="str">
        <f t="shared" si="70"/>
        <v/>
      </c>
      <c r="N22" t="str">
        <f t="shared" si="71"/>
        <v/>
      </c>
      <c r="O22" t="str">
        <f t="shared" si="72"/>
        <v/>
      </c>
      <c r="P22" t="str">
        <f t="shared" si="73"/>
        <v/>
      </c>
      <c r="Q22" t="str">
        <f t="shared" si="74"/>
        <v/>
      </c>
      <c r="R22" t="str">
        <f t="shared" si="75"/>
        <v/>
      </c>
      <c r="S22" t="str">
        <f t="shared" si="76"/>
        <v/>
      </c>
      <c r="T22" t="str">
        <f t="shared" si="77"/>
        <v/>
      </c>
      <c r="U22" t="str">
        <f t="shared" si="78"/>
        <v/>
      </c>
      <c r="V22" t="str">
        <f t="shared" si="79"/>
        <v/>
      </c>
      <c r="W22" s="19" t="e">
        <f t="shared" si="80"/>
        <v>#VALUE!</v>
      </c>
      <c r="X22" s="19" t="e">
        <f t="shared" si="81"/>
        <v>#VALUE!</v>
      </c>
      <c r="Y22" s="19" t="e">
        <f t="shared" si="82"/>
        <v>#VALUE!</v>
      </c>
      <c r="Z22" t="str">
        <f t="shared" si="83"/>
        <v/>
      </c>
      <c r="AA22" t="str">
        <f t="shared" si="84"/>
        <v/>
      </c>
      <c r="AB22" t="str">
        <f t="shared" si="85"/>
        <v/>
      </c>
      <c r="AC22" t="str">
        <f t="shared" si="86"/>
        <v/>
      </c>
      <c r="AD22" t="str">
        <f t="shared" si="87"/>
        <v>Начальник участка СУ ООО «КРОСТ-Д» Шевцов А.М., приказ № 1127 от 06.12.2023 г.</v>
      </c>
      <c r="AE22" t="str">
        <f t="shared" si="88"/>
        <v/>
      </c>
      <c r="AF22" t="str">
        <f t="shared" si="89"/>
        <v/>
      </c>
      <c r="AG22" t="str">
        <f t="shared" si="90"/>
        <v/>
      </c>
      <c r="AH22" t="str">
        <f t="shared" si="91"/>
        <v/>
      </c>
      <c r="AI22" t="str">
        <f t="shared" si="92"/>
        <v/>
      </c>
      <c r="AJ22" t="str">
        <f t="shared" si="93"/>
        <v/>
      </c>
      <c r="AK22" t="str">
        <f t="shared" si="94"/>
        <v/>
      </c>
      <c r="AL22" t="str">
        <f t="shared" si="95"/>
        <v/>
      </c>
      <c r="AM22" t="str">
        <f t="shared" si="96"/>
        <v/>
      </c>
      <c r="AN22" t="str">
        <f t="shared" si="97"/>
        <v/>
      </c>
      <c r="AO22" t="str">
        <f t="shared" si="98"/>
        <v/>
      </c>
      <c r="AP22" t="str">
        <f t="shared" si="99"/>
        <v/>
      </c>
      <c r="AQ22" t="str">
        <f t="shared" si="100"/>
        <v/>
      </c>
      <c r="AR22" t="str">
        <f t="shared" si="101"/>
        <v/>
      </c>
      <c r="AS22" t="str">
        <f t="shared" si="102"/>
        <v/>
      </c>
      <c r="AT22" t="str">
        <f t="shared" si="103"/>
        <v/>
      </c>
      <c r="AU22" t="str">
        <f t="shared" si="104"/>
        <v/>
      </c>
      <c r="AV22">
        <f t="shared" si="105"/>
        <v>0</v>
      </c>
      <c r="AW22">
        <f t="shared" si="106"/>
        <v>0</v>
      </c>
      <c r="AX22">
        <f t="shared" si="107"/>
        <v>0</v>
      </c>
      <c r="AY22">
        <f t="shared" si="108"/>
        <v>0</v>
      </c>
      <c r="AZ22">
        <f t="shared" si="109"/>
        <v>0</v>
      </c>
      <c r="BA22" t="str">
        <f>CONCATENATE(IF(AV22=0,"",AV22),IF(AW22=0,""," "&amp;АОСР[[#Headers],[в интервале]]&amp;" "&amp;AW22),IF(AX22=0,""," "&amp;АОСР[[#Headers],[колодцев]]&amp;" "&amp;AX22),IF(AY22=0,""," ("&amp;AY22),IF(AZ22=0,""," "&amp;AZ22&amp;")"),IF(OR(AV22=0,AY22&lt;&gt;0,AZ22&lt;&gt;0),")",""))</f>
        <v>)</v>
      </c>
      <c r="BB22" t="str">
        <f t="shared" si="110"/>
        <v/>
      </c>
      <c r="BC22" t="str">
        <f t="shared" si="111"/>
        <v/>
      </c>
      <c r="BD22" t="str">
        <f t="shared" si="112"/>
        <v/>
      </c>
      <c r="BE22" t="str">
        <f t="shared" si="112"/>
        <v/>
      </c>
      <c r="BF22" t="str">
        <f t="shared" si="113"/>
        <v/>
      </c>
      <c r="BG22" s="19" t="e">
        <f t="shared" si="114"/>
        <v>#VALUE!</v>
      </c>
      <c r="BH22" s="19" t="e">
        <f t="shared" si="115"/>
        <v>#VALUE!</v>
      </c>
      <c r="BI22" s="19" t="e">
        <f t="shared" si="116"/>
        <v>#VALUE!</v>
      </c>
      <c r="BJ22" t="str">
        <f t="shared" si="117"/>
        <v/>
      </c>
      <c r="BK22" s="19" t="e">
        <f t="shared" si="118"/>
        <v>#VALUE!</v>
      </c>
      <c r="BL22" s="19" t="e">
        <f t="shared" si="119"/>
        <v>#VALUE!</v>
      </c>
      <c r="BM22" s="19" t="e">
        <f t="shared" si="120"/>
        <v>#VALUE!</v>
      </c>
      <c r="BN22" t="str">
        <f>IF(ISBLANK(_всоответствии_реквизиты),"",CONCATENATE(_всоответствии_реквизиты,IF(ISBLANK(АОСР[СНИП]),"","; "&amp;АОСР[СНИП])))</f>
        <v/>
      </c>
      <c r="BO22" t="str">
        <f t="shared" si="121"/>
        <v/>
      </c>
      <c r="BP22" t="str">
        <f t="shared" si="122"/>
        <v/>
      </c>
      <c r="BQ22" t="str">
        <f t="shared" si="123"/>
        <v/>
      </c>
      <c r="BR22" t="str">
        <f t="shared" si="124"/>
        <v/>
      </c>
      <c r="BS22" t="str">
        <f t="shared" si="125"/>
        <v/>
      </c>
      <c r="BT22" t="str">
        <f t="shared" si="126"/>
        <v/>
      </c>
      <c r="BU22" t="str">
        <f t="shared" si="127"/>
        <v/>
      </c>
      <c r="BV22" t="str">
        <f>IF(LEN(Таблица1[Накта])&gt;60,
    LEFT(Таблица1[Накта],30),
    Таблица1[Накта])</f>
        <v/>
      </c>
      <c r="BW22" t="str">
        <f>IF(ISBLANK(_№ппАОСР),"",_№ппАОСР)</f>
        <v/>
      </c>
    </row>
    <row r="23" spans="1:75" x14ac:dyDescent="0.25">
      <c r="A23" s="29">
        <f>Таблица1[впечать]</f>
        <v>0</v>
      </c>
      <c r="B23" s="29">
        <f t="shared" si="59"/>
        <v>0</v>
      </c>
      <c r="C23" t="str">
        <f t="shared" si="60"/>
        <v/>
      </c>
      <c r="D23" t="str">
        <f t="shared" si="61"/>
        <v/>
      </c>
      <c r="E23" t="str">
        <f t="shared" si="62"/>
        <v/>
      </c>
      <c r="F23" t="str">
        <f t="shared" si="63"/>
        <v/>
      </c>
      <c r="G23" t="str">
        <f t="shared" si="64"/>
        <v/>
      </c>
      <c r="H23" t="str">
        <f t="shared" si="65"/>
        <v/>
      </c>
      <c r="I23" t="str">
        <f t="shared" si="66"/>
        <v/>
      </c>
      <c r="J23" t="str">
        <f t="shared" si="67"/>
        <v/>
      </c>
      <c r="K23" t="str">
        <f t="shared" si="68"/>
        <v/>
      </c>
      <c r="L23" t="str">
        <f t="shared" si="69"/>
        <v/>
      </c>
      <c r="M23" t="str">
        <f t="shared" si="70"/>
        <v/>
      </c>
      <c r="N23" t="str">
        <f t="shared" si="71"/>
        <v/>
      </c>
      <c r="O23" t="str">
        <f t="shared" si="72"/>
        <v/>
      </c>
      <c r="P23" t="str">
        <f t="shared" si="73"/>
        <v/>
      </c>
      <c r="Q23" t="str">
        <f t="shared" si="74"/>
        <v/>
      </c>
      <c r="R23" t="str">
        <f t="shared" si="75"/>
        <v/>
      </c>
      <c r="S23" t="str">
        <f t="shared" si="76"/>
        <v/>
      </c>
      <c r="T23" t="str">
        <f t="shared" si="77"/>
        <v/>
      </c>
      <c r="U23" t="str">
        <f t="shared" si="78"/>
        <v/>
      </c>
      <c r="V23" t="str">
        <f t="shared" si="79"/>
        <v/>
      </c>
      <c r="W23" s="19" t="e">
        <f t="shared" si="80"/>
        <v>#VALUE!</v>
      </c>
      <c r="X23" s="19" t="e">
        <f t="shared" si="81"/>
        <v>#VALUE!</v>
      </c>
      <c r="Y23" s="19" t="e">
        <f t="shared" si="82"/>
        <v>#VALUE!</v>
      </c>
      <c r="Z23" t="str">
        <f t="shared" si="83"/>
        <v/>
      </c>
      <c r="AA23" t="str">
        <f t="shared" si="84"/>
        <v/>
      </c>
      <c r="AB23" t="str">
        <f t="shared" si="85"/>
        <v/>
      </c>
      <c r="AC23" t="str">
        <f t="shared" si="86"/>
        <v/>
      </c>
      <c r="AD23" t="str">
        <f t="shared" si="87"/>
        <v>Начальник участка СУ ООО «КРОСТ-Д» Шевцов А.М., приказ № 1127 от 06.12.2023 г.</v>
      </c>
      <c r="AE23" t="str">
        <f t="shared" si="88"/>
        <v/>
      </c>
      <c r="AF23" t="str">
        <f t="shared" si="89"/>
        <v/>
      </c>
      <c r="AG23" t="str">
        <f t="shared" si="90"/>
        <v/>
      </c>
      <c r="AH23" t="str">
        <f t="shared" si="91"/>
        <v/>
      </c>
      <c r="AI23" t="str">
        <f t="shared" si="92"/>
        <v/>
      </c>
      <c r="AJ23" t="str">
        <f t="shared" si="93"/>
        <v/>
      </c>
      <c r="AK23" t="str">
        <f t="shared" si="94"/>
        <v/>
      </c>
      <c r="AL23" t="str">
        <f t="shared" si="95"/>
        <v/>
      </c>
      <c r="AM23" t="str">
        <f t="shared" si="96"/>
        <v/>
      </c>
      <c r="AN23" t="str">
        <f t="shared" si="97"/>
        <v/>
      </c>
      <c r="AO23" t="str">
        <f t="shared" si="98"/>
        <v/>
      </c>
      <c r="AP23" t="str">
        <f t="shared" si="99"/>
        <v/>
      </c>
      <c r="AQ23" t="str">
        <f t="shared" si="100"/>
        <v/>
      </c>
      <c r="AR23" t="str">
        <f t="shared" si="101"/>
        <v/>
      </c>
      <c r="AS23" t="str">
        <f t="shared" si="102"/>
        <v/>
      </c>
      <c r="AT23" t="str">
        <f t="shared" si="103"/>
        <v/>
      </c>
      <c r="AU23" t="str">
        <f t="shared" si="104"/>
        <v/>
      </c>
      <c r="AV23">
        <f t="shared" si="105"/>
        <v>0</v>
      </c>
      <c r="AW23">
        <f t="shared" si="106"/>
        <v>0</v>
      </c>
      <c r="AX23">
        <f t="shared" si="107"/>
        <v>0</v>
      </c>
      <c r="AY23">
        <f t="shared" si="108"/>
        <v>0</v>
      </c>
      <c r="AZ23">
        <f t="shared" si="109"/>
        <v>0</v>
      </c>
      <c r="BA23" t="str">
        <f>CONCATENATE(IF(AV23=0,"",AV23),IF(AW23=0,""," "&amp;АОСР[[#Headers],[в интервале]]&amp;" "&amp;AW23),IF(AX23=0,""," "&amp;АОСР[[#Headers],[колодцев]]&amp;" "&amp;AX23),IF(AY23=0,""," ("&amp;AY23),IF(AZ23=0,""," "&amp;AZ23&amp;")"),IF(OR(AV23=0,AY23&lt;&gt;0,AZ23&lt;&gt;0),")",""))</f>
        <v>)</v>
      </c>
      <c r="BB23" t="str">
        <f t="shared" si="110"/>
        <v/>
      </c>
      <c r="BC23" t="str">
        <f t="shared" si="111"/>
        <v/>
      </c>
      <c r="BD23" t="str">
        <f t="shared" si="112"/>
        <v/>
      </c>
      <c r="BE23" t="str">
        <f t="shared" si="112"/>
        <v/>
      </c>
      <c r="BF23" t="str">
        <f t="shared" si="113"/>
        <v/>
      </c>
      <c r="BG23" s="19" t="e">
        <f t="shared" si="114"/>
        <v>#VALUE!</v>
      </c>
      <c r="BH23" s="19" t="e">
        <f t="shared" si="115"/>
        <v>#VALUE!</v>
      </c>
      <c r="BI23" s="19" t="e">
        <f t="shared" si="116"/>
        <v>#VALUE!</v>
      </c>
      <c r="BJ23" t="str">
        <f t="shared" si="117"/>
        <v/>
      </c>
      <c r="BK23" s="19" t="e">
        <f t="shared" si="118"/>
        <v>#VALUE!</v>
      </c>
      <c r="BL23" s="19" t="e">
        <f t="shared" si="119"/>
        <v>#VALUE!</v>
      </c>
      <c r="BM23" s="19" t="e">
        <f t="shared" si="120"/>
        <v>#VALUE!</v>
      </c>
      <c r="BN23" t="str">
        <f>IF(ISBLANK(_всоответствии_реквизиты),"",CONCATENATE(_всоответствии_реквизиты,IF(ISBLANK(АОСР[СНИП]),"","; "&amp;АОСР[СНИП])))</f>
        <v/>
      </c>
      <c r="BO23" t="str">
        <f t="shared" si="121"/>
        <v/>
      </c>
      <c r="BP23" t="str">
        <f t="shared" si="122"/>
        <v/>
      </c>
      <c r="BQ23" t="str">
        <f t="shared" si="123"/>
        <v/>
      </c>
      <c r="BR23" t="str">
        <f t="shared" si="124"/>
        <v/>
      </c>
      <c r="BS23" t="str">
        <f t="shared" si="125"/>
        <v/>
      </c>
      <c r="BT23" t="str">
        <f t="shared" si="126"/>
        <v/>
      </c>
      <c r="BU23" t="str">
        <f t="shared" si="127"/>
        <v/>
      </c>
      <c r="BV23" t="str">
        <f>IF(LEN(Таблица1[Накта])&gt;60,
    LEFT(Таблица1[Накта],30),
    Таблица1[Накта])</f>
        <v/>
      </c>
      <c r="BW23" t="str">
        <f>IF(ISBLANK(_№ппАОСР),"",_№ппАОСР)</f>
        <v/>
      </c>
    </row>
    <row r="24" spans="1:75" x14ac:dyDescent="0.25">
      <c r="A24" s="29">
        <f>Таблица1[впечать]</f>
        <v>0</v>
      </c>
      <c r="B24" s="29">
        <f t="shared" si="59"/>
        <v>0</v>
      </c>
      <c r="C24" t="str">
        <f t="shared" si="60"/>
        <v/>
      </c>
      <c r="D24" t="str">
        <f t="shared" si="61"/>
        <v/>
      </c>
      <c r="E24" t="str">
        <f t="shared" si="62"/>
        <v/>
      </c>
      <c r="F24" t="str">
        <f t="shared" si="63"/>
        <v/>
      </c>
      <c r="G24" t="str">
        <f t="shared" si="64"/>
        <v/>
      </c>
      <c r="H24" t="str">
        <f t="shared" si="65"/>
        <v/>
      </c>
      <c r="I24" t="str">
        <f t="shared" si="66"/>
        <v/>
      </c>
      <c r="J24" t="str">
        <f t="shared" si="67"/>
        <v/>
      </c>
      <c r="K24" t="str">
        <f t="shared" si="68"/>
        <v/>
      </c>
      <c r="L24" t="str">
        <f t="shared" si="69"/>
        <v/>
      </c>
      <c r="M24" t="str">
        <f t="shared" si="70"/>
        <v/>
      </c>
      <c r="N24" t="str">
        <f t="shared" si="71"/>
        <v/>
      </c>
      <c r="O24" t="str">
        <f t="shared" si="72"/>
        <v/>
      </c>
      <c r="P24" t="str">
        <f t="shared" si="73"/>
        <v/>
      </c>
      <c r="Q24" t="str">
        <f t="shared" si="74"/>
        <v/>
      </c>
      <c r="R24" t="str">
        <f t="shared" si="75"/>
        <v/>
      </c>
      <c r="S24" t="str">
        <f t="shared" si="76"/>
        <v/>
      </c>
      <c r="T24" t="str">
        <f t="shared" si="77"/>
        <v/>
      </c>
      <c r="U24" t="str">
        <f t="shared" si="78"/>
        <v/>
      </c>
      <c r="V24" t="str">
        <f t="shared" si="79"/>
        <v/>
      </c>
      <c r="W24" s="19" t="e">
        <f t="shared" si="80"/>
        <v>#VALUE!</v>
      </c>
      <c r="X24" s="19" t="e">
        <f t="shared" si="81"/>
        <v>#VALUE!</v>
      </c>
      <c r="Y24" s="19" t="e">
        <f t="shared" si="82"/>
        <v>#VALUE!</v>
      </c>
      <c r="Z24" t="str">
        <f t="shared" si="83"/>
        <v/>
      </c>
      <c r="AA24" t="str">
        <f t="shared" si="84"/>
        <v/>
      </c>
      <c r="AB24" t="str">
        <f t="shared" si="85"/>
        <v/>
      </c>
      <c r="AC24" t="str">
        <f t="shared" si="86"/>
        <v/>
      </c>
      <c r="AD24" t="str">
        <f t="shared" si="87"/>
        <v>Начальник участка СУ ООО «КРОСТ-Д» Шевцов А.М., приказ № 1127 от 06.12.2023 г.</v>
      </c>
      <c r="AE24" t="str">
        <f t="shared" si="88"/>
        <v/>
      </c>
      <c r="AF24" t="str">
        <f t="shared" si="89"/>
        <v/>
      </c>
      <c r="AG24" t="str">
        <f t="shared" si="90"/>
        <v/>
      </c>
      <c r="AH24" t="str">
        <f t="shared" si="91"/>
        <v/>
      </c>
      <c r="AI24" t="str">
        <f t="shared" si="92"/>
        <v/>
      </c>
      <c r="AJ24" t="str">
        <f t="shared" si="93"/>
        <v/>
      </c>
      <c r="AK24" t="str">
        <f t="shared" si="94"/>
        <v/>
      </c>
      <c r="AL24" t="str">
        <f t="shared" si="95"/>
        <v/>
      </c>
      <c r="AM24" t="str">
        <f t="shared" si="96"/>
        <v/>
      </c>
      <c r="AN24" t="str">
        <f t="shared" si="97"/>
        <v/>
      </c>
      <c r="AO24" t="str">
        <f t="shared" si="98"/>
        <v/>
      </c>
      <c r="AP24" t="str">
        <f t="shared" si="99"/>
        <v/>
      </c>
      <c r="AQ24" t="str">
        <f t="shared" si="100"/>
        <v/>
      </c>
      <c r="AR24" t="str">
        <f t="shared" si="101"/>
        <v/>
      </c>
      <c r="AS24" t="str">
        <f t="shared" si="102"/>
        <v/>
      </c>
      <c r="AT24" t="str">
        <f t="shared" si="103"/>
        <v/>
      </c>
      <c r="AU24" t="str">
        <f t="shared" si="104"/>
        <v/>
      </c>
      <c r="AV24">
        <f t="shared" si="105"/>
        <v>0</v>
      </c>
      <c r="AW24">
        <f t="shared" si="106"/>
        <v>0</v>
      </c>
      <c r="AX24">
        <f t="shared" si="107"/>
        <v>0</v>
      </c>
      <c r="AY24">
        <f t="shared" si="108"/>
        <v>0</v>
      </c>
      <c r="AZ24">
        <f t="shared" si="109"/>
        <v>0</v>
      </c>
      <c r="BA24" t="str">
        <f>CONCATENATE(IF(AV24=0,"",AV24),IF(AW24=0,""," "&amp;АОСР[[#Headers],[в интервале]]&amp;" "&amp;AW24),IF(AX24=0,""," "&amp;АОСР[[#Headers],[колодцев]]&amp;" "&amp;AX24),IF(AY24=0,""," ("&amp;AY24),IF(AZ24=0,""," "&amp;AZ24&amp;")"),IF(OR(AV24=0,AY24&lt;&gt;0,AZ24&lt;&gt;0),")",""))</f>
        <v>)</v>
      </c>
      <c r="BB24" t="str">
        <f t="shared" si="110"/>
        <v/>
      </c>
      <c r="BC24" t="str">
        <f t="shared" si="111"/>
        <v/>
      </c>
      <c r="BD24" t="str">
        <f t="shared" si="112"/>
        <v/>
      </c>
      <c r="BE24" t="str">
        <f t="shared" si="112"/>
        <v/>
      </c>
      <c r="BF24" t="str">
        <f t="shared" si="113"/>
        <v/>
      </c>
      <c r="BG24" s="19" t="e">
        <f t="shared" si="114"/>
        <v>#VALUE!</v>
      </c>
      <c r="BH24" s="19" t="e">
        <f t="shared" si="115"/>
        <v>#VALUE!</v>
      </c>
      <c r="BI24" s="19" t="e">
        <f t="shared" si="116"/>
        <v>#VALUE!</v>
      </c>
      <c r="BJ24" t="str">
        <f t="shared" si="117"/>
        <v/>
      </c>
      <c r="BK24" s="19" t="e">
        <f t="shared" si="118"/>
        <v>#VALUE!</v>
      </c>
      <c r="BL24" s="19" t="e">
        <f t="shared" si="119"/>
        <v>#VALUE!</v>
      </c>
      <c r="BM24" s="19" t="e">
        <f t="shared" si="120"/>
        <v>#VALUE!</v>
      </c>
      <c r="BN24" t="str">
        <f>IF(ISBLANK(_всоответствии_реквизиты),"",CONCATENATE(_всоответствии_реквизиты,IF(ISBLANK(АОСР[СНИП]),"","; "&amp;АОСР[СНИП])))</f>
        <v/>
      </c>
      <c r="BO24" t="str">
        <f t="shared" si="121"/>
        <v/>
      </c>
      <c r="BP24" t="str">
        <f t="shared" si="122"/>
        <v/>
      </c>
      <c r="BQ24" t="str">
        <f t="shared" si="123"/>
        <v/>
      </c>
      <c r="BR24" t="str">
        <f t="shared" si="124"/>
        <v/>
      </c>
      <c r="BS24" t="str">
        <f t="shared" si="125"/>
        <v/>
      </c>
      <c r="BT24" t="str">
        <f t="shared" si="126"/>
        <v/>
      </c>
      <c r="BU24" t="str">
        <f t="shared" si="127"/>
        <v/>
      </c>
      <c r="BV24" t="str">
        <f>IF(LEN(Таблица1[Накта])&gt;60,
    LEFT(Таблица1[Накта],30),
    Таблица1[Накта])</f>
        <v/>
      </c>
      <c r="BW24" t="str">
        <f>IF(ISBLANK(_№ппАОСР),"",_№ппАОСР)</f>
        <v/>
      </c>
    </row>
    <row r="25" spans="1:75" x14ac:dyDescent="0.25">
      <c r="A25" s="29">
        <f>Таблица1[впечать]</f>
        <v>0</v>
      </c>
      <c r="B25" s="29">
        <f t="shared" si="59"/>
        <v>0</v>
      </c>
      <c r="C25" t="str">
        <f t="shared" si="60"/>
        <v/>
      </c>
      <c r="D25" t="str">
        <f t="shared" si="61"/>
        <v/>
      </c>
      <c r="E25" t="str">
        <f t="shared" si="62"/>
        <v/>
      </c>
      <c r="F25" t="str">
        <f t="shared" si="63"/>
        <v/>
      </c>
      <c r="G25" t="str">
        <f t="shared" si="64"/>
        <v/>
      </c>
      <c r="H25" t="str">
        <f t="shared" si="65"/>
        <v/>
      </c>
      <c r="I25" t="str">
        <f t="shared" si="66"/>
        <v/>
      </c>
      <c r="J25" t="str">
        <f t="shared" si="67"/>
        <v/>
      </c>
      <c r="K25" t="str">
        <f t="shared" si="68"/>
        <v/>
      </c>
      <c r="L25" t="str">
        <f t="shared" si="69"/>
        <v/>
      </c>
      <c r="M25" t="str">
        <f t="shared" si="70"/>
        <v/>
      </c>
      <c r="N25" t="str">
        <f t="shared" si="71"/>
        <v/>
      </c>
      <c r="O25" t="str">
        <f t="shared" si="72"/>
        <v/>
      </c>
      <c r="P25" t="str">
        <f t="shared" si="73"/>
        <v/>
      </c>
      <c r="Q25" t="str">
        <f t="shared" si="74"/>
        <v/>
      </c>
      <c r="R25" t="str">
        <f t="shared" si="75"/>
        <v/>
      </c>
      <c r="S25" t="str">
        <f t="shared" si="76"/>
        <v/>
      </c>
      <c r="T25" t="str">
        <f t="shared" si="77"/>
        <v/>
      </c>
      <c r="U25" t="str">
        <f t="shared" si="78"/>
        <v/>
      </c>
      <c r="V25" t="str">
        <f t="shared" si="79"/>
        <v/>
      </c>
      <c r="W25" s="19" t="e">
        <f t="shared" si="80"/>
        <v>#VALUE!</v>
      </c>
      <c r="X25" s="19" t="e">
        <f t="shared" si="81"/>
        <v>#VALUE!</v>
      </c>
      <c r="Y25" s="19" t="e">
        <f t="shared" si="82"/>
        <v>#VALUE!</v>
      </c>
      <c r="Z25" t="str">
        <f t="shared" si="83"/>
        <v/>
      </c>
      <c r="AA25" t="str">
        <f t="shared" si="84"/>
        <v/>
      </c>
      <c r="AB25" t="str">
        <f t="shared" si="85"/>
        <v/>
      </c>
      <c r="AC25" t="str">
        <f t="shared" si="86"/>
        <v/>
      </c>
      <c r="AD25" t="str">
        <f t="shared" si="87"/>
        <v>Начальник участка СУ ООО «КРОСТ-Д» Шевцов А.М., приказ № 1127 от 06.12.2023 г.</v>
      </c>
      <c r="AE25" t="str">
        <f t="shared" si="88"/>
        <v/>
      </c>
      <c r="AF25" t="str">
        <f t="shared" si="89"/>
        <v/>
      </c>
      <c r="AG25" t="str">
        <f t="shared" si="90"/>
        <v/>
      </c>
      <c r="AH25" t="str">
        <f t="shared" si="91"/>
        <v/>
      </c>
      <c r="AI25" t="str">
        <f t="shared" si="92"/>
        <v/>
      </c>
      <c r="AJ25" t="str">
        <f t="shared" si="93"/>
        <v/>
      </c>
      <c r="AK25" t="str">
        <f t="shared" si="94"/>
        <v/>
      </c>
      <c r="AL25" t="str">
        <f t="shared" si="95"/>
        <v/>
      </c>
      <c r="AM25" t="str">
        <f t="shared" si="96"/>
        <v/>
      </c>
      <c r="AN25" t="str">
        <f t="shared" si="97"/>
        <v/>
      </c>
      <c r="AO25" t="str">
        <f t="shared" si="98"/>
        <v/>
      </c>
      <c r="AP25" t="str">
        <f t="shared" si="99"/>
        <v/>
      </c>
      <c r="AQ25" t="str">
        <f t="shared" si="100"/>
        <v/>
      </c>
      <c r="AR25" t="str">
        <f t="shared" si="101"/>
        <v/>
      </c>
      <c r="AS25" t="str">
        <f t="shared" si="102"/>
        <v/>
      </c>
      <c r="AT25" t="str">
        <f t="shared" si="103"/>
        <v/>
      </c>
      <c r="AU25" t="str">
        <f t="shared" si="104"/>
        <v/>
      </c>
      <c r="AV25">
        <f t="shared" si="105"/>
        <v>0</v>
      </c>
      <c r="AW25">
        <f t="shared" si="106"/>
        <v>0</v>
      </c>
      <c r="AX25">
        <f t="shared" si="107"/>
        <v>0</v>
      </c>
      <c r="AY25">
        <f t="shared" si="108"/>
        <v>0</v>
      </c>
      <c r="AZ25">
        <f t="shared" si="109"/>
        <v>0</v>
      </c>
      <c r="BA25" t="str">
        <f>CONCATENATE(IF(AV25=0,"",AV25),IF(AW25=0,""," "&amp;АОСР[[#Headers],[в интервале]]&amp;" "&amp;AW25),IF(AX25=0,""," "&amp;АОСР[[#Headers],[колодцев]]&amp;" "&amp;AX25),IF(AY25=0,""," ("&amp;AY25),IF(AZ25=0,""," "&amp;AZ25&amp;")"),IF(OR(AV25=0,AY25&lt;&gt;0,AZ25&lt;&gt;0),")",""))</f>
        <v>)</v>
      </c>
      <c r="BB25" t="str">
        <f t="shared" si="110"/>
        <v/>
      </c>
      <c r="BC25" t="str">
        <f t="shared" si="111"/>
        <v/>
      </c>
      <c r="BD25" t="str">
        <f t="shared" ref="BD25:BE40" si="128">CONCATENATE(IF(ISBLANK(_чертежиАОСР),"",_чертежиАОСР),IF(ISBLANK(_протоколыАОСР),"","; "&amp;_протоколыАОСР),IF(ISBLANK(_протоколы28АОСР),"","; "&amp;_протоколы28АОСР),IF(ISBLANK(_заключенияАОСР),"","; "&amp;_заключенияАОСР))</f>
        <v/>
      </c>
      <c r="BE25" t="str">
        <f t="shared" si="128"/>
        <v/>
      </c>
      <c r="BF25" t="str">
        <f t="shared" si="113"/>
        <v/>
      </c>
      <c r="BG25" s="19" t="e">
        <f t="shared" si="114"/>
        <v>#VALUE!</v>
      </c>
      <c r="BH25" s="19" t="e">
        <f t="shared" si="115"/>
        <v>#VALUE!</v>
      </c>
      <c r="BI25" s="19" t="e">
        <f t="shared" si="116"/>
        <v>#VALUE!</v>
      </c>
      <c r="BJ25" t="str">
        <f t="shared" si="117"/>
        <v/>
      </c>
      <c r="BK25" s="19" t="e">
        <f t="shared" si="118"/>
        <v>#VALUE!</v>
      </c>
      <c r="BL25" s="19" t="e">
        <f t="shared" si="119"/>
        <v>#VALUE!</v>
      </c>
      <c r="BM25" s="19" t="e">
        <f t="shared" si="120"/>
        <v>#VALUE!</v>
      </c>
      <c r="BN25" t="str">
        <f>IF(ISBLANK(_всоответствии_реквизиты),"",CONCATENATE(_всоответствии_реквизиты,IF(ISBLANK(АОСР[СНИП]),"","; "&amp;АОСР[СНИП])))</f>
        <v/>
      </c>
      <c r="BO25" t="str">
        <f t="shared" si="121"/>
        <v/>
      </c>
      <c r="BP25" t="str">
        <f t="shared" si="122"/>
        <v/>
      </c>
      <c r="BQ25" t="str">
        <f t="shared" si="123"/>
        <v/>
      </c>
      <c r="BR25" t="str">
        <f t="shared" si="124"/>
        <v/>
      </c>
      <c r="BS25" t="str">
        <f t="shared" si="125"/>
        <v/>
      </c>
      <c r="BT25" t="str">
        <f t="shared" si="126"/>
        <v/>
      </c>
      <c r="BU25" t="str">
        <f t="shared" si="127"/>
        <v/>
      </c>
      <c r="BV25" t="str">
        <f>IF(LEN(Таблица1[Накта])&gt;60,
    LEFT(Таблица1[Накта],30),
    Таблица1[Накта])</f>
        <v/>
      </c>
      <c r="BW25" t="str">
        <f>IF(ISBLANK(_№ппАОСР),"",_№ппАОСР)</f>
        <v/>
      </c>
    </row>
    <row r="26" spans="1:75" x14ac:dyDescent="0.25">
      <c r="A26" s="29">
        <f>Таблица1[впечать]</f>
        <v>0</v>
      </c>
      <c r="B26" s="29">
        <f t="shared" si="59"/>
        <v>0</v>
      </c>
      <c r="C26" t="str">
        <f t="shared" si="60"/>
        <v/>
      </c>
      <c r="D26" t="str">
        <f t="shared" si="61"/>
        <v/>
      </c>
      <c r="E26" t="str">
        <f t="shared" si="62"/>
        <v/>
      </c>
      <c r="F26" t="str">
        <f t="shared" si="63"/>
        <v/>
      </c>
      <c r="G26" t="str">
        <f t="shared" si="64"/>
        <v/>
      </c>
      <c r="H26" t="str">
        <f t="shared" si="65"/>
        <v/>
      </c>
      <c r="I26" t="str">
        <f t="shared" si="66"/>
        <v/>
      </c>
      <c r="J26" t="str">
        <f t="shared" si="67"/>
        <v/>
      </c>
      <c r="K26" t="str">
        <f t="shared" si="68"/>
        <v/>
      </c>
      <c r="L26" t="str">
        <f t="shared" si="69"/>
        <v/>
      </c>
      <c r="M26" t="str">
        <f t="shared" si="70"/>
        <v/>
      </c>
      <c r="N26" t="str">
        <f t="shared" si="71"/>
        <v/>
      </c>
      <c r="O26" t="str">
        <f t="shared" si="72"/>
        <v/>
      </c>
      <c r="P26" t="str">
        <f t="shared" si="73"/>
        <v/>
      </c>
      <c r="Q26" t="str">
        <f t="shared" si="74"/>
        <v/>
      </c>
      <c r="R26" t="str">
        <f t="shared" si="75"/>
        <v/>
      </c>
      <c r="S26" t="str">
        <f t="shared" si="76"/>
        <v/>
      </c>
      <c r="T26" t="str">
        <f t="shared" si="77"/>
        <v/>
      </c>
      <c r="U26" t="str">
        <f t="shared" si="78"/>
        <v/>
      </c>
      <c r="V26" t="str">
        <f t="shared" si="79"/>
        <v/>
      </c>
      <c r="W26" s="19" t="e">
        <f t="shared" si="80"/>
        <v>#VALUE!</v>
      </c>
      <c r="X26" s="19" t="e">
        <f t="shared" si="81"/>
        <v>#VALUE!</v>
      </c>
      <c r="Y26" s="19" t="e">
        <f t="shared" si="82"/>
        <v>#VALUE!</v>
      </c>
      <c r="Z26" t="str">
        <f t="shared" si="83"/>
        <v/>
      </c>
      <c r="AA26" t="str">
        <f t="shared" si="84"/>
        <v/>
      </c>
      <c r="AB26" t="str">
        <f t="shared" si="85"/>
        <v/>
      </c>
      <c r="AC26" t="str">
        <f t="shared" si="86"/>
        <v/>
      </c>
      <c r="AD26" t="str">
        <f t="shared" si="87"/>
        <v>Начальник участка СУ ООО «КРОСТ-Д» Шевцов А.М., приказ № 1127 от 06.12.2023 г.</v>
      </c>
      <c r="AE26" t="str">
        <f t="shared" si="88"/>
        <v/>
      </c>
      <c r="AF26" t="str">
        <f t="shared" si="89"/>
        <v/>
      </c>
      <c r="AG26" t="str">
        <f t="shared" si="90"/>
        <v/>
      </c>
      <c r="AH26" t="str">
        <f t="shared" si="91"/>
        <v/>
      </c>
      <c r="AI26" t="str">
        <f t="shared" si="92"/>
        <v/>
      </c>
      <c r="AJ26" t="str">
        <f t="shared" si="93"/>
        <v/>
      </c>
      <c r="AK26" t="str">
        <f t="shared" si="94"/>
        <v/>
      </c>
      <c r="AL26" t="str">
        <f t="shared" si="95"/>
        <v/>
      </c>
      <c r="AM26" t="str">
        <f t="shared" si="96"/>
        <v/>
      </c>
      <c r="AN26" t="str">
        <f t="shared" si="97"/>
        <v/>
      </c>
      <c r="AO26" t="str">
        <f t="shared" si="98"/>
        <v/>
      </c>
      <c r="AP26" t="str">
        <f t="shared" si="99"/>
        <v/>
      </c>
      <c r="AQ26" t="str">
        <f t="shared" si="100"/>
        <v/>
      </c>
      <c r="AR26" t="str">
        <f t="shared" si="101"/>
        <v/>
      </c>
      <c r="AS26" t="str">
        <f t="shared" si="102"/>
        <v/>
      </c>
      <c r="AT26" t="str">
        <f t="shared" si="103"/>
        <v/>
      </c>
      <c r="AU26" t="str">
        <f t="shared" si="104"/>
        <v/>
      </c>
      <c r="AV26">
        <f t="shared" si="105"/>
        <v>0</v>
      </c>
      <c r="AW26">
        <f t="shared" si="106"/>
        <v>0</v>
      </c>
      <c r="AX26">
        <f t="shared" si="107"/>
        <v>0</v>
      </c>
      <c r="AY26">
        <f t="shared" si="108"/>
        <v>0</v>
      </c>
      <c r="AZ26">
        <f t="shared" si="109"/>
        <v>0</v>
      </c>
      <c r="BA26" t="str">
        <f>CONCATENATE(IF(AV26=0,"",AV26),IF(AW26=0,""," "&amp;АОСР[[#Headers],[в интервале]]&amp;" "&amp;AW26),IF(AX26=0,""," "&amp;АОСР[[#Headers],[колодцев]]&amp;" "&amp;AX26),IF(AY26=0,""," ("&amp;AY26),IF(AZ26=0,""," "&amp;AZ26&amp;")"),IF(OR(AV26=0,AY26&lt;&gt;0,AZ26&lt;&gt;0),")",""))</f>
        <v>)</v>
      </c>
      <c r="BB26" t="str">
        <f t="shared" si="110"/>
        <v/>
      </c>
      <c r="BC26" t="str">
        <f t="shared" si="111"/>
        <v/>
      </c>
      <c r="BD26" t="str">
        <f t="shared" si="128"/>
        <v/>
      </c>
      <c r="BE26" t="str">
        <f t="shared" si="128"/>
        <v/>
      </c>
      <c r="BF26" t="str">
        <f t="shared" si="113"/>
        <v/>
      </c>
      <c r="BG26" s="19" t="e">
        <f t="shared" si="114"/>
        <v>#VALUE!</v>
      </c>
      <c r="BH26" s="19" t="e">
        <f t="shared" si="115"/>
        <v>#VALUE!</v>
      </c>
      <c r="BI26" s="19" t="e">
        <f t="shared" si="116"/>
        <v>#VALUE!</v>
      </c>
      <c r="BJ26" t="str">
        <f t="shared" si="117"/>
        <v/>
      </c>
      <c r="BK26" s="19" t="e">
        <f t="shared" si="118"/>
        <v>#VALUE!</v>
      </c>
      <c r="BL26" s="19" t="e">
        <f t="shared" si="119"/>
        <v>#VALUE!</v>
      </c>
      <c r="BM26" s="19" t="e">
        <f t="shared" si="120"/>
        <v>#VALUE!</v>
      </c>
      <c r="BN26" t="str">
        <f>IF(ISBLANK(_всоответствии_реквизиты),"",CONCATENATE(_всоответствии_реквизиты,IF(ISBLANK(АОСР[СНИП]),"","; "&amp;АОСР[СНИП])))</f>
        <v/>
      </c>
      <c r="BO26" t="str">
        <f t="shared" si="121"/>
        <v/>
      </c>
      <c r="BP26" t="str">
        <f t="shared" si="122"/>
        <v/>
      </c>
      <c r="BQ26" t="str">
        <f t="shared" si="123"/>
        <v/>
      </c>
      <c r="BR26" t="str">
        <f t="shared" si="124"/>
        <v/>
      </c>
      <c r="BS26" t="str">
        <f t="shared" si="125"/>
        <v/>
      </c>
      <c r="BT26" t="str">
        <f t="shared" si="126"/>
        <v/>
      </c>
      <c r="BU26" t="str">
        <f t="shared" si="127"/>
        <v/>
      </c>
      <c r="BV26" t="str">
        <f>IF(LEN(Таблица1[Накта])&gt;60,
    LEFT(Таблица1[Накта],30),
    Таблица1[Накта])</f>
        <v/>
      </c>
      <c r="BW26" t="str">
        <f>IF(ISBLANK(_№ппАОСР),"",_№ппАОСР)</f>
        <v/>
      </c>
    </row>
    <row r="27" spans="1:75" x14ac:dyDescent="0.25">
      <c r="A27" s="29">
        <f>Таблица1[впечать]</f>
        <v>0</v>
      </c>
      <c r="B27" s="29">
        <f t="shared" si="59"/>
        <v>0</v>
      </c>
      <c r="C27" t="str">
        <f t="shared" si="60"/>
        <v/>
      </c>
      <c r="D27" t="str">
        <f t="shared" si="61"/>
        <v/>
      </c>
      <c r="E27" t="str">
        <f t="shared" si="62"/>
        <v/>
      </c>
      <c r="F27" t="str">
        <f t="shared" si="63"/>
        <v/>
      </c>
      <c r="G27" t="str">
        <f t="shared" si="64"/>
        <v/>
      </c>
      <c r="H27" t="str">
        <f t="shared" si="65"/>
        <v/>
      </c>
      <c r="I27" t="str">
        <f t="shared" si="66"/>
        <v/>
      </c>
      <c r="J27" t="str">
        <f t="shared" si="67"/>
        <v/>
      </c>
      <c r="K27" t="str">
        <f t="shared" si="68"/>
        <v/>
      </c>
      <c r="L27" t="str">
        <f t="shared" si="69"/>
        <v/>
      </c>
      <c r="M27" t="str">
        <f t="shared" si="70"/>
        <v/>
      </c>
      <c r="N27" t="str">
        <f t="shared" si="71"/>
        <v/>
      </c>
      <c r="O27" t="str">
        <f t="shared" si="72"/>
        <v/>
      </c>
      <c r="P27" t="str">
        <f t="shared" si="73"/>
        <v/>
      </c>
      <c r="Q27" t="str">
        <f t="shared" si="74"/>
        <v/>
      </c>
      <c r="R27" t="str">
        <f t="shared" si="75"/>
        <v/>
      </c>
      <c r="S27" t="str">
        <f t="shared" si="76"/>
        <v/>
      </c>
      <c r="T27" t="str">
        <f t="shared" si="77"/>
        <v/>
      </c>
      <c r="U27" t="str">
        <f t="shared" si="78"/>
        <v/>
      </c>
      <c r="V27" t="str">
        <f t="shared" si="79"/>
        <v/>
      </c>
      <c r="W27" s="19" t="e">
        <f t="shared" si="80"/>
        <v>#VALUE!</v>
      </c>
      <c r="X27" s="19" t="e">
        <f t="shared" si="81"/>
        <v>#VALUE!</v>
      </c>
      <c r="Y27" s="19" t="e">
        <f t="shared" si="82"/>
        <v>#VALUE!</v>
      </c>
      <c r="Z27" t="str">
        <f t="shared" si="83"/>
        <v/>
      </c>
      <c r="AA27" t="str">
        <f t="shared" si="84"/>
        <v/>
      </c>
      <c r="AB27" t="str">
        <f t="shared" si="85"/>
        <v/>
      </c>
      <c r="AC27" t="str">
        <f t="shared" si="86"/>
        <v/>
      </c>
      <c r="AD27" t="str">
        <f t="shared" si="87"/>
        <v>Начальник участка СУ ООО «КРОСТ-Д» Шевцов А.М., приказ № 1127 от 06.12.2023 г.</v>
      </c>
      <c r="AE27" t="str">
        <f t="shared" si="88"/>
        <v/>
      </c>
      <c r="AF27" t="str">
        <f t="shared" si="89"/>
        <v/>
      </c>
      <c r="AG27" t="str">
        <f t="shared" si="90"/>
        <v/>
      </c>
      <c r="AH27" t="str">
        <f t="shared" si="91"/>
        <v/>
      </c>
      <c r="AI27" t="str">
        <f t="shared" si="92"/>
        <v/>
      </c>
      <c r="AJ27" t="str">
        <f t="shared" si="93"/>
        <v/>
      </c>
      <c r="AK27" t="str">
        <f t="shared" si="94"/>
        <v/>
      </c>
      <c r="AL27" t="str">
        <f t="shared" si="95"/>
        <v/>
      </c>
      <c r="AM27" t="str">
        <f t="shared" si="96"/>
        <v/>
      </c>
      <c r="AN27" t="str">
        <f t="shared" si="97"/>
        <v/>
      </c>
      <c r="AO27" t="str">
        <f t="shared" si="98"/>
        <v/>
      </c>
      <c r="AP27" t="str">
        <f t="shared" si="99"/>
        <v/>
      </c>
      <c r="AQ27" t="str">
        <f t="shared" si="100"/>
        <v/>
      </c>
      <c r="AR27" t="str">
        <f t="shared" si="101"/>
        <v/>
      </c>
      <c r="AS27" t="str">
        <f t="shared" si="102"/>
        <v/>
      </c>
      <c r="AT27" t="str">
        <f t="shared" si="103"/>
        <v/>
      </c>
      <c r="AU27" t="str">
        <f t="shared" si="104"/>
        <v/>
      </c>
      <c r="AV27">
        <f t="shared" si="105"/>
        <v>0</v>
      </c>
      <c r="AW27">
        <f t="shared" si="106"/>
        <v>0</v>
      </c>
      <c r="AX27">
        <f t="shared" si="107"/>
        <v>0</v>
      </c>
      <c r="AY27">
        <f t="shared" si="108"/>
        <v>0</v>
      </c>
      <c r="AZ27">
        <f t="shared" si="109"/>
        <v>0</v>
      </c>
      <c r="BA27" t="str">
        <f>CONCATENATE(IF(AV27=0,"",AV27),IF(AW27=0,""," "&amp;АОСР[[#Headers],[в интервале]]&amp;" "&amp;AW27),IF(AX27=0,""," "&amp;АОСР[[#Headers],[колодцев]]&amp;" "&amp;AX27),IF(AY27=0,""," ("&amp;AY27),IF(AZ27=0,""," "&amp;AZ27&amp;")"),IF(OR(AV27=0,AY27&lt;&gt;0,AZ27&lt;&gt;0),")",""))</f>
        <v>)</v>
      </c>
      <c r="BB27" t="str">
        <f t="shared" si="110"/>
        <v/>
      </c>
      <c r="BC27" t="str">
        <f t="shared" si="111"/>
        <v/>
      </c>
      <c r="BD27" t="str">
        <f t="shared" si="128"/>
        <v/>
      </c>
      <c r="BE27" t="str">
        <f t="shared" si="128"/>
        <v/>
      </c>
      <c r="BF27" t="str">
        <f t="shared" si="113"/>
        <v/>
      </c>
      <c r="BG27" s="19" t="e">
        <f t="shared" si="114"/>
        <v>#VALUE!</v>
      </c>
      <c r="BH27" s="19" t="e">
        <f t="shared" si="115"/>
        <v>#VALUE!</v>
      </c>
      <c r="BI27" s="19" t="e">
        <f t="shared" si="116"/>
        <v>#VALUE!</v>
      </c>
      <c r="BJ27" t="str">
        <f t="shared" si="117"/>
        <v/>
      </c>
      <c r="BK27" s="19" t="e">
        <f t="shared" si="118"/>
        <v>#VALUE!</v>
      </c>
      <c r="BL27" s="19" t="e">
        <f t="shared" si="119"/>
        <v>#VALUE!</v>
      </c>
      <c r="BM27" s="19" t="e">
        <f t="shared" si="120"/>
        <v>#VALUE!</v>
      </c>
      <c r="BN27" t="str">
        <f>IF(ISBLANK(_всоответствии_реквизиты),"",CONCATENATE(_всоответствии_реквизиты,IF(ISBLANK(АОСР[СНИП]),"","; "&amp;АОСР[СНИП])))</f>
        <v/>
      </c>
      <c r="BO27" t="str">
        <f t="shared" si="121"/>
        <v/>
      </c>
      <c r="BP27" t="str">
        <f t="shared" si="122"/>
        <v/>
      </c>
      <c r="BQ27" t="str">
        <f t="shared" si="123"/>
        <v/>
      </c>
      <c r="BR27" t="str">
        <f t="shared" si="124"/>
        <v/>
      </c>
      <c r="BS27" t="str">
        <f t="shared" si="125"/>
        <v/>
      </c>
      <c r="BT27" t="str">
        <f t="shared" si="126"/>
        <v/>
      </c>
      <c r="BU27" t="str">
        <f t="shared" si="127"/>
        <v/>
      </c>
      <c r="BV27" t="str">
        <f>IF(LEN(Таблица1[Накта])&gt;60,
    LEFT(Таблица1[Накта],30),
    Таблица1[Накта])</f>
        <v/>
      </c>
      <c r="BW27" t="str">
        <f>IF(ISBLANK(_№ппАОСР),"",_№ппАОСР)</f>
        <v/>
      </c>
    </row>
    <row r="28" spans="1:75" x14ac:dyDescent="0.25">
      <c r="A28" s="29">
        <f>Таблица1[впечать]</f>
        <v>0</v>
      </c>
      <c r="B28" s="29">
        <f t="shared" si="59"/>
        <v>0</v>
      </c>
      <c r="C28" t="str">
        <f t="shared" si="60"/>
        <v/>
      </c>
      <c r="D28" t="str">
        <f t="shared" si="61"/>
        <v/>
      </c>
      <c r="E28" t="str">
        <f t="shared" si="62"/>
        <v/>
      </c>
      <c r="F28" t="str">
        <f t="shared" si="63"/>
        <v/>
      </c>
      <c r="G28" t="str">
        <f t="shared" si="64"/>
        <v/>
      </c>
      <c r="H28" t="str">
        <f t="shared" si="65"/>
        <v/>
      </c>
      <c r="I28" t="str">
        <f t="shared" si="66"/>
        <v/>
      </c>
      <c r="J28" t="str">
        <f t="shared" si="67"/>
        <v/>
      </c>
      <c r="K28" t="str">
        <f t="shared" si="68"/>
        <v/>
      </c>
      <c r="L28" t="str">
        <f t="shared" si="69"/>
        <v/>
      </c>
      <c r="M28" t="str">
        <f t="shared" si="70"/>
        <v/>
      </c>
      <c r="N28" t="str">
        <f t="shared" si="71"/>
        <v/>
      </c>
      <c r="O28" t="str">
        <f t="shared" si="72"/>
        <v/>
      </c>
      <c r="P28" t="str">
        <f t="shared" si="73"/>
        <v/>
      </c>
      <c r="Q28" t="str">
        <f t="shared" si="74"/>
        <v/>
      </c>
      <c r="R28" t="str">
        <f t="shared" si="75"/>
        <v/>
      </c>
      <c r="S28" t="str">
        <f t="shared" si="76"/>
        <v/>
      </c>
      <c r="T28" t="str">
        <f t="shared" si="77"/>
        <v/>
      </c>
      <c r="U28" t="str">
        <f t="shared" si="78"/>
        <v/>
      </c>
      <c r="V28" t="str">
        <f t="shared" si="79"/>
        <v/>
      </c>
      <c r="W28" s="19" t="e">
        <f t="shared" si="80"/>
        <v>#VALUE!</v>
      </c>
      <c r="X28" s="19" t="e">
        <f t="shared" si="81"/>
        <v>#VALUE!</v>
      </c>
      <c r="Y28" s="19" t="e">
        <f t="shared" si="82"/>
        <v>#VALUE!</v>
      </c>
      <c r="Z28" t="str">
        <f t="shared" si="83"/>
        <v/>
      </c>
      <c r="AA28" t="str">
        <f t="shared" si="84"/>
        <v/>
      </c>
      <c r="AB28" t="str">
        <f t="shared" si="85"/>
        <v/>
      </c>
      <c r="AC28" t="str">
        <f t="shared" si="86"/>
        <v/>
      </c>
      <c r="AD28" t="str">
        <f t="shared" si="87"/>
        <v>Начальник участка СУ ООО «КРОСТ-Д» Шевцов А.М., приказ № 1127 от 06.12.2023 г.</v>
      </c>
      <c r="AE28" t="str">
        <f t="shared" si="88"/>
        <v/>
      </c>
      <c r="AF28" t="str">
        <f t="shared" si="89"/>
        <v/>
      </c>
      <c r="AG28" t="str">
        <f t="shared" si="90"/>
        <v/>
      </c>
      <c r="AH28" t="str">
        <f t="shared" si="91"/>
        <v/>
      </c>
      <c r="AI28" t="str">
        <f t="shared" si="92"/>
        <v/>
      </c>
      <c r="AJ28" t="str">
        <f t="shared" si="93"/>
        <v/>
      </c>
      <c r="AK28" t="str">
        <f t="shared" si="94"/>
        <v/>
      </c>
      <c r="AL28" t="str">
        <f t="shared" si="95"/>
        <v/>
      </c>
      <c r="AM28" t="str">
        <f t="shared" si="96"/>
        <v/>
      </c>
      <c r="AN28" t="str">
        <f t="shared" si="97"/>
        <v/>
      </c>
      <c r="AO28" t="str">
        <f t="shared" si="98"/>
        <v/>
      </c>
      <c r="AP28" t="str">
        <f t="shared" si="99"/>
        <v/>
      </c>
      <c r="AQ28" t="str">
        <f t="shared" si="100"/>
        <v/>
      </c>
      <c r="AR28" t="str">
        <f t="shared" si="101"/>
        <v/>
      </c>
      <c r="AS28" t="str">
        <f t="shared" si="102"/>
        <v/>
      </c>
      <c r="AT28" t="str">
        <f t="shared" si="103"/>
        <v/>
      </c>
      <c r="AU28" t="str">
        <f t="shared" si="104"/>
        <v/>
      </c>
      <c r="AV28">
        <f t="shared" si="105"/>
        <v>0</v>
      </c>
      <c r="AW28">
        <f t="shared" si="106"/>
        <v>0</v>
      </c>
      <c r="AX28">
        <f t="shared" si="107"/>
        <v>0</v>
      </c>
      <c r="AY28">
        <f t="shared" si="108"/>
        <v>0</v>
      </c>
      <c r="AZ28">
        <f t="shared" si="109"/>
        <v>0</v>
      </c>
      <c r="BA28" t="str">
        <f>CONCATENATE(IF(AV28=0,"",AV28),IF(AW28=0,""," "&amp;АОСР[[#Headers],[в интервале]]&amp;" "&amp;AW28),IF(AX28=0,""," "&amp;АОСР[[#Headers],[колодцев]]&amp;" "&amp;AX28),IF(AY28=0,""," ("&amp;AY28),IF(AZ28=0,""," "&amp;AZ28&amp;")"),IF(OR(AV28=0,AY28&lt;&gt;0,AZ28&lt;&gt;0),")",""))</f>
        <v>)</v>
      </c>
      <c r="BB28" t="str">
        <f t="shared" si="110"/>
        <v/>
      </c>
      <c r="BC28" t="str">
        <f t="shared" si="111"/>
        <v/>
      </c>
      <c r="BD28" t="str">
        <f t="shared" si="128"/>
        <v/>
      </c>
      <c r="BE28" t="str">
        <f t="shared" si="128"/>
        <v/>
      </c>
      <c r="BF28" t="str">
        <f t="shared" si="113"/>
        <v/>
      </c>
      <c r="BG28" s="19" t="e">
        <f t="shared" si="114"/>
        <v>#VALUE!</v>
      </c>
      <c r="BH28" s="19" t="e">
        <f t="shared" si="115"/>
        <v>#VALUE!</v>
      </c>
      <c r="BI28" s="19" t="e">
        <f t="shared" si="116"/>
        <v>#VALUE!</v>
      </c>
      <c r="BJ28" t="str">
        <f t="shared" si="117"/>
        <v/>
      </c>
      <c r="BK28" s="19" t="e">
        <f t="shared" si="118"/>
        <v>#VALUE!</v>
      </c>
      <c r="BL28" s="19" t="e">
        <f t="shared" si="119"/>
        <v>#VALUE!</v>
      </c>
      <c r="BM28" s="19" t="e">
        <f t="shared" si="120"/>
        <v>#VALUE!</v>
      </c>
      <c r="BN28" t="str">
        <f>IF(ISBLANK(_всоответствии_реквизиты),"",CONCATENATE(_всоответствии_реквизиты,IF(ISBLANK(АОСР[СНИП]),"","; "&amp;АОСР[СНИП])))</f>
        <v/>
      </c>
      <c r="BO28" t="str">
        <f t="shared" si="121"/>
        <v/>
      </c>
      <c r="BP28" t="str">
        <f t="shared" si="122"/>
        <v/>
      </c>
      <c r="BQ28" t="str">
        <f t="shared" si="123"/>
        <v/>
      </c>
      <c r="BR28" t="str">
        <f t="shared" si="124"/>
        <v/>
      </c>
      <c r="BS28" t="str">
        <f t="shared" si="125"/>
        <v/>
      </c>
      <c r="BT28" t="str">
        <f t="shared" si="126"/>
        <v/>
      </c>
      <c r="BU28" t="str">
        <f t="shared" si="127"/>
        <v/>
      </c>
      <c r="BV28" t="str">
        <f>IF(LEN(Таблица1[Накта])&gt;60,
    LEFT(Таблица1[Накта],30),
    Таблица1[Накта])</f>
        <v/>
      </c>
      <c r="BW28" t="str">
        <f>IF(ISBLANK(_№ппАОСР),"",_№ппАОСР)</f>
        <v/>
      </c>
    </row>
    <row r="29" spans="1:75" x14ac:dyDescent="0.25">
      <c r="A29" s="29">
        <f>Таблица1[впечать]</f>
        <v>0</v>
      </c>
      <c r="B29" s="29">
        <f t="shared" si="59"/>
        <v>0</v>
      </c>
      <c r="C29" t="str">
        <f t="shared" si="60"/>
        <v/>
      </c>
      <c r="D29" t="str">
        <f t="shared" si="61"/>
        <v/>
      </c>
      <c r="E29" t="str">
        <f t="shared" si="62"/>
        <v/>
      </c>
      <c r="F29" t="str">
        <f t="shared" si="63"/>
        <v/>
      </c>
      <c r="G29" t="str">
        <f t="shared" si="64"/>
        <v/>
      </c>
      <c r="H29" t="str">
        <f t="shared" si="65"/>
        <v/>
      </c>
      <c r="I29" t="str">
        <f t="shared" si="66"/>
        <v/>
      </c>
      <c r="J29" t="str">
        <f t="shared" si="67"/>
        <v/>
      </c>
      <c r="K29" t="str">
        <f t="shared" si="68"/>
        <v/>
      </c>
      <c r="L29" t="str">
        <f t="shared" si="69"/>
        <v/>
      </c>
      <c r="M29" t="str">
        <f t="shared" si="70"/>
        <v/>
      </c>
      <c r="N29" t="str">
        <f t="shared" si="71"/>
        <v/>
      </c>
      <c r="O29" t="str">
        <f t="shared" si="72"/>
        <v/>
      </c>
      <c r="P29" t="str">
        <f t="shared" si="73"/>
        <v/>
      </c>
      <c r="Q29" t="str">
        <f t="shared" si="74"/>
        <v/>
      </c>
      <c r="R29" t="str">
        <f t="shared" si="75"/>
        <v/>
      </c>
      <c r="S29" t="str">
        <f t="shared" si="76"/>
        <v/>
      </c>
      <c r="T29" t="str">
        <f t="shared" si="77"/>
        <v/>
      </c>
      <c r="U29" t="str">
        <f t="shared" si="78"/>
        <v/>
      </c>
      <c r="V29" t="str">
        <f t="shared" si="79"/>
        <v/>
      </c>
      <c r="W29" s="19" t="e">
        <f t="shared" si="80"/>
        <v>#VALUE!</v>
      </c>
      <c r="X29" s="19" t="e">
        <f t="shared" si="81"/>
        <v>#VALUE!</v>
      </c>
      <c r="Y29" s="19" t="e">
        <f t="shared" si="82"/>
        <v>#VALUE!</v>
      </c>
      <c r="Z29" t="str">
        <f t="shared" si="83"/>
        <v/>
      </c>
      <c r="AA29" t="str">
        <f t="shared" si="84"/>
        <v/>
      </c>
      <c r="AB29" t="str">
        <f t="shared" si="85"/>
        <v/>
      </c>
      <c r="AC29" t="str">
        <f t="shared" si="86"/>
        <v/>
      </c>
      <c r="AD29" t="str">
        <f t="shared" si="87"/>
        <v>Начальник участка СУ ООО «КРОСТ-Д» Шевцов А.М., приказ № 1127 от 06.12.2023 г.</v>
      </c>
      <c r="AE29" t="str">
        <f t="shared" si="88"/>
        <v/>
      </c>
      <c r="AF29" t="str">
        <f t="shared" si="89"/>
        <v/>
      </c>
      <c r="AG29" t="str">
        <f t="shared" si="90"/>
        <v/>
      </c>
      <c r="AH29" t="str">
        <f t="shared" si="91"/>
        <v/>
      </c>
      <c r="AI29" t="str">
        <f t="shared" si="92"/>
        <v/>
      </c>
      <c r="AJ29" t="str">
        <f t="shared" si="93"/>
        <v/>
      </c>
      <c r="AK29" t="str">
        <f t="shared" si="94"/>
        <v/>
      </c>
      <c r="AL29" t="str">
        <f t="shared" si="95"/>
        <v/>
      </c>
      <c r="AM29" t="str">
        <f t="shared" si="96"/>
        <v/>
      </c>
      <c r="AN29" t="str">
        <f t="shared" si="97"/>
        <v/>
      </c>
      <c r="AO29" t="str">
        <f t="shared" si="98"/>
        <v/>
      </c>
      <c r="AP29" t="str">
        <f t="shared" si="99"/>
        <v/>
      </c>
      <c r="AQ29" t="str">
        <f t="shared" si="100"/>
        <v/>
      </c>
      <c r="AR29" t="str">
        <f t="shared" si="101"/>
        <v/>
      </c>
      <c r="AS29" t="str">
        <f t="shared" si="102"/>
        <v/>
      </c>
      <c r="AT29" t="str">
        <f t="shared" si="103"/>
        <v/>
      </c>
      <c r="AU29" t="str">
        <f t="shared" si="104"/>
        <v/>
      </c>
      <c r="AV29">
        <f t="shared" si="105"/>
        <v>0</v>
      </c>
      <c r="AW29">
        <f t="shared" si="106"/>
        <v>0</v>
      </c>
      <c r="AX29">
        <f t="shared" si="107"/>
        <v>0</v>
      </c>
      <c r="AY29">
        <f t="shared" si="108"/>
        <v>0</v>
      </c>
      <c r="AZ29">
        <f t="shared" si="109"/>
        <v>0</v>
      </c>
      <c r="BA29" t="str">
        <f>CONCATENATE(IF(AV29=0,"",AV29),IF(AW29=0,""," "&amp;АОСР[[#Headers],[в интервале]]&amp;" "&amp;AW29),IF(AX29=0,""," "&amp;АОСР[[#Headers],[колодцев]]&amp;" "&amp;AX29),IF(AY29=0,""," ("&amp;AY29),IF(AZ29=0,""," "&amp;AZ29&amp;")"),IF(OR(AV29=0,AY29&lt;&gt;0,AZ29&lt;&gt;0),")",""))</f>
        <v>)</v>
      </c>
      <c r="BB29" t="str">
        <f t="shared" si="110"/>
        <v/>
      </c>
      <c r="BC29" t="str">
        <f t="shared" si="111"/>
        <v/>
      </c>
      <c r="BD29" t="str">
        <f t="shared" si="128"/>
        <v/>
      </c>
      <c r="BE29" t="str">
        <f t="shared" si="128"/>
        <v/>
      </c>
      <c r="BF29" t="str">
        <f t="shared" si="113"/>
        <v/>
      </c>
      <c r="BG29" s="19" t="e">
        <f t="shared" si="114"/>
        <v>#VALUE!</v>
      </c>
      <c r="BH29" s="19" t="e">
        <f t="shared" si="115"/>
        <v>#VALUE!</v>
      </c>
      <c r="BI29" s="19" t="e">
        <f t="shared" si="116"/>
        <v>#VALUE!</v>
      </c>
      <c r="BJ29" t="str">
        <f t="shared" si="117"/>
        <v/>
      </c>
      <c r="BK29" s="19" t="e">
        <f t="shared" si="118"/>
        <v>#VALUE!</v>
      </c>
      <c r="BL29" s="19" t="e">
        <f t="shared" si="119"/>
        <v>#VALUE!</v>
      </c>
      <c r="BM29" s="19" t="e">
        <f t="shared" si="120"/>
        <v>#VALUE!</v>
      </c>
      <c r="BN29" t="str">
        <f>IF(ISBLANK(_всоответствии_реквизиты),"",CONCATENATE(_всоответствии_реквизиты,IF(ISBLANK(АОСР[СНИП]),"","; "&amp;АОСР[СНИП])))</f>
        <v/>
      </c>
      <c r="BO29" t="str">
        <f t="shared" si="121"/>
        <v/>
      </c>
      <c r="BP29" t="str">
        <f t="shared" si="122"/>
        <v/>
      </c>
      <c r="BQ29" t="str">
        <f t="shared" si="123"/>
        <v/>
      </c>
      <c r="BR29" t="str">
        <f t="shared" si="124"/>
        <v/>
      </c>
      <c r="BS29" t="str">
        <f t="shared" si="125"/>
        <v/>
      </c>
      <c r="BT29" t="str">
        <f t="shared" si="126"/>
        <v/>
      </c>
      <c r="BU29" t="str">
        <f t="shared" si="127"/>
        <v/>
      </c>
      <c r="BV29" t="str">
        <f>IF(LEN(Таблица1[Накта])&gt;60,
    LEFT(Таблица1[Накта],30),
    Таблица1[Накта])</f>
        <v/>
      </c>
      <c r="BW29" t="str">
        <f>IF(ISBLANK(_№ппАОСР),"",_№ппАОСР)</f>
        <v/>
      </c>
    </row>
    <row r="30" spans="1:75" x14ac:dyDescent="0.25">
      <c r="A30" s="29">
        <f>Таблица1[впечать]</f>
        <v>0</v>
      </c>
      <c r="B30" s="29">
        <f t="shared" si="59"/>
        <v>0</v>
      </c>
      <c r="C30" t="str">
        <f t="shared" si="60"/>
        <v/>
      </c>
      <c r="D30" t="str">
        <f t="shared" si="61"/>
        <v/>
      </c>
      <c r="E30" t="str">
        <f t="shared" si="62"/>
        <v/>
      </c>
      <c r="F30" t="str">
        <f t="shared" si="63"/>
        <v/>
      </c>
      <c r="G30" t="str">
        <f t="shared" si="64"/>
        <v/>
      </c>
      <c r="H30" t="str">
        <f t="shared" si="65"/>
        <v/>
      </c>
      <c r="I30" t="str">
        <f t="shared" si="66"/>
        <v/>
      </c>
      <c r="J30" t="str">
        <f t="shared" si="67"/>
        <v/>
      </c>
      <c r="K30" t="str">
        <f t="shared" si="68"/>
        <v/>
      </c>
      <c r="L30" t="str">
        <f t="shared" si="69"/>
        <v/>
      </c>
      <c r="M30" t="str">
        <f t="shared" si="70"/>
        <v/>
      </c>
      <c r="N30" t="str">
        <f t="shared" si="71"/>
        <v/>
      </c>
      <c r="O30" t="str">
        <f t="shared" si="72"/>
        <v/>
      </c>
      <c r="P30" t="str">
        <f t="shared" si="73"/>
        <v/>
      </c>
      <c r="Q30" t="str">
        <f t="shared" si="74"/>
        <v/>
      </c>
      <c r="R30" t="str">
        <f t="shared" si="75"/>
        <v/>
      </c>
      <c r="S30" t="str">
        <f t="shared" si="76"/>
        <v/>
      </c>
      <c r="T30" t="str">
        <f t="shared" si="77"/>
        <v/>
      </c>
      <c r="U30" t="str">
        <f t="shared" si="78"/>
        <v/>
      </c>
      <c r="V30" t="str">
        <f t="shared" si="79"/>
        <v/>
      </c>
      <c r="W30" s="19" t="e">
        <f t="shared" si="80"/>
        <v>#VALUE!</v>
      </c>
      <c r="X30" s="19" t="e">
        <f t="shared" si="81"/>
        <v>#VALUE!</v>
      </c>
      <c r="Y30" s="19" t="e">
        <f t="shared" si="82"/>
        <v>#VALUE!</v>
      </c>
      <c r="Z30" t="str">
        <f t="shared" si="83"/>
        <v/>
      </c>
      <c r="AA30" t="str">
        <f t="shared" si="84"/>
        <v/>
      </c>
      <c r="AB30" t="str">
        <f t="shared" si="85"/>
        <v/>
      </c>
      <c r="AC30" t="str">
        <f t="shared" si="86"/>
        <v/>
      </c>
      <c r="AD30" t="str">
        <f t="shared" si="87"/>
        <v>Начальник участка СУ ООО «КРОСТ-Д» Шевцов А.М., приказ № 1127 от 06.12.2023 г.</v>
      </c>
      <c r="AE30" t="str">
        <f t="shared" si="88"/>
        <v/>
      </c>
      <c r="AF30" t="str">
        <f t="shared" si="89"/>
        <v/>
      </c>
      <c r="AG30" t="str">
        <f t="shared" si="90"/>
        <v/>
      </c>
      <c r="AH30" t="str">
        <f t="shared" si="91"/>
        <v/>
      </c>
      <c r="AI30" t="str">
        <f t="shared" si="92"/>
        <v/>
      </c>
      <c r="AJ30" t="str">
        <f t="shared" si="93"/>
        <v/>
      </c>
      <c r="AK30" t="str">
        <f t="shared" si="94"/>
        <v/>
      </c>
      <c r="AL30" t="str">
        <f t="shared" si="95"/>
        <v/>
      </c>
      <c r="AM30" t="str">
        <f t="shared" si="96"/>
        <v/>
      </c>
      <c r="AN30" t="str">
        <f t="shared" si="97"/>
        <v/>
      </c>
      <c r="AO30" t="str">
        <f t="shared" si="98"/>
        <v/>
      </c>
      <c r="AP30" t="str">
        <f t="shared" si="99"/>
        <v/>
      </c>
      <c r="AQ30" t="str">
        <f t="shared" si="100"/>
        <v/>
      </c>
      <c r="AR30" t="str">
        <f t="shared" si="101"/>
        <v/>
      </c>
      <c r="AS30" t="str">
        <f t="shared" si="102"/>
        <v/>
      </c>
      <c r="AT30" t="str">
        <f t="shared" si="103"/>
        <v/>
      </c>
      <c r="AU30" t="str">
        <f t="shared" si="104"/>
        <v/>
      </c>
      <c r="AV30">
        <f t="shared" si="105"/>
        <v>0</v>
      </c>
      <c r="AW30">
        <f t="shared" si="106"/>
        <v>0</v>
      </c>
      <c r="AX30">
        <f t="shared" si="107"/>
        <v>0</v>
      </c>
      <c r="AY30">
        <f t="shared" si="108"/>
        <v>0</v>
      </c>
      <c r="AZ30">
        <f t="shared" si="109"/>
        <v>0</v>
      </c>
      <c r="BA30" t="str">
        <f>CONCATENATE(IF(AV30=0,"",AV30),IF(AW30=0,""," "&amp;АОСР[[#Headers],[в интервале]]&amp;" "&amp;AW30),IF(AX30=0,""," "&amp;АОСР[[#Headers],[колодцев]]&amp;" "&amp;AX30),IF(AY30=0,""," ("&amp;AY30),IF(AZ30=0,""," "&amp;AZ30&amp;")"),IF(OR(AV30=0,AY30&lt;&gt;0,AZ30&lt;&gt;0),")",""))</f>
        <v>)</v>
      </c>
      <c r="BB30" t="str">
        <f t="shared" si="110"/>
        <v/>
      </c>
      <c r="BC30" t="str">
        <f t="shared" si="111"/>
        <v/>
      </c>
      <c r="BD30" t="str">
        <f t="shared" si="128"/>
        <v/>
      </c>
      <c r="BE30" t="str">
        <f t="shared" si="128"/>
        <v/>
      </c>
      <c r="BF30" t="str">
        <f t="shared" si="113"/>
        <v/>
      </c>
      <c r="BG30" s="19" t="e">
        <f t="shared" si="114"/>
        <v>#VALUE!</v>
      </c>
      <c r="BH30" s="19" t="e">
        <f t="shared" si="115"/>
        <v>#VALUE!</v>
      </c>
      <c r="BI30" s="19" t="e">
        <f t="shared" si="116"/>
        <v>#VALUE!</v>
      </c>
      <c r="BJ30" t="str">
        <f t="shared" si="117"/>
        <v/>
      </c>
      <c r="BK30" s="19" t="e">
        <f t="shared" si="118"/>
        <v>#VALUE!</v>
      </c>
      <c r="BL30" s="19" t="e">
        <f t="shared" si="119"/>
        <v>#VALUE!</v>
      </c>
      <c r="BM30" s="19" t="e">
        <f t="shared" si="120"/>
        <v>#VALUE!</v>
      </c>
      <c r="BN30" t="str">
        <f>IF(ISBLANK(_всоответствии_реквизиты),"",CONCATENATE(_всоответствии_реквизиты,IF(ISBLANK(АОСР[СНИП]),"","; "&amp;АОСР[СНИП])))</f>
        <v/>
      </c>
      <c r="BO30" t="str">
        <f t="shared" si="121"/>
        <v/>
      </c>
      <c r="BP30" t="str">
        <f t="shared" si="122"/>
        <v/>
      </c>
      <c r="BQ30" t="str">
        <f t="shared" si="123"/>
        <v/>
      </c>
      <c r="BR30" t="str">
        <f t="shared" si="124"/>
        <v/>
      </c>
      <c r="BS30" t="str">
        <f t="shared" si="125"/>
        <v/>
      </c>
      <c r="BT30" t="str">
        <f t="shared" si="126"/>
        <v/>
      </c>
      <c r="BU30" t="str">
        <f t="shared" si="127"/>
        <v/>
      </c>
      <c r="BV30" t="str">
        <f>IF(LEN(Таблица1[Накта])&gt;60,
    LEFT(Таблица1[Накта],30),
    Таблица1[Накта])</f>
        <v/>
      </c>
      <c r="BW30" t="str">
        <f>IF(ISBLANK(_№ппАОСР),"",_№ппАОСР)</f>
        <v/>
      </c>
    </row>
    <row r="31" spans="1:75" x14ac:dyDescent="0.25">
      <c r="A31" s="29">
        <f>Таблица1[впечать]</f>
        <v>0</v>
      </c>
      <c r="B31" s="29">
        <f t="shared" si="59"/>
        <v>0</v>
      </c>
      <c r="C31" t="str">
        <f t="shared" si="60"/>
        <v/>
      </c>
      <c r="D31" t="str">
        <f t="shared" si="61"/>
        <v/>
      </c>
      <c r="E31" t="str">
        <f t="shared" si="62"/>
        <v/>
      </c>
      <c r="F31" t="str">
        <f t="shared" si="63"/>
        <v/>
      </c>
      <c r="G31" t="str">
        <f t="shared" si="64"/>
        <v/>
      </c>
      <c r="H31" t="str">
        <f t="shared" si="65"/>
        <v/>
      </c>
      <c r="I31" t="str">
        <f t="shared" si="66"/>
        <v/>
      </c>
      <c r="J31" t="str">
        <f t="shared" si="67"/>
        <v/>
      </c>
      <c r="K31" t="str">
        <f t="shared" si="68"/>
        <v/>
      </c>
      <c r="L31" t="str">
        <f t="shared" si="69"/>
        <v/>
      </c>
      <c r="M31" t="str">
        <f t="shared" si="70"/>
        <v/>
      </c>
      <c r="N31" t="str">
        <f t="shared" si="71"/>
        <v/>
      </c>
      <c r="O31" t="str">
        <f t="shared" si="72"/>
        <v/>
      </c>
      <c r="P31" t="str">
        <f t="shared" si="73"/>
        <v/>
      </c>
      <c r="Q31" t="str">
        <f t="shared" si="74"/>
        <v/>
      </c>
      <c r="R31" t="str">
        <f t="shared" si="75"/>
        <v/>
      </c>
      <c r="S31" t="str">
        <f t="shared" si="76"/>
        <v/>
      </c>
      <c r="T31" t="str">
        <f t="shared" si="77"/>
        <v/>
      </c>
      <c r="U31" t="str">
        <f t="shared" si="78"/>
        <v/>
      </c>
      <c r="V31" t="str">
        <f t="shared" si="79"/>
        <v/>
      </c>
      <c r="W31" s="19" t="e">
        <f t="shared" si="80"/>
        <v>#VALUE!</v>
      </c>
      <c r="X31" s="19" t="e">
        <f t="shared" si="81"/>
        <v>#VALUE!</v>
      </c>
      <c r="Y31" s="19" t="e">
        <f t="shared" si="82"/>
        <v>#VALUE!</v>
      </c>
      <c r="Z31" t="str">
        <f t="shared" si="83"/>
        <v/>
      </c>
      <c r="AA31" t="str">
        <f t="shared" si="84"/>
        <v/>
      </c>
      <c r="AB31" t="str">
        <f t="shared" si="85"/>
        <v/>
      </c>
      <c r="AC31" t="str">
        <f t="shared" si="86"/>
        <v/>
      </c>
      <c r="AD31" t="str">
        <f t="shared" si="87"/>
        <v>Начальник участка СУ ООО «КРОСТ-Д» Шевцов А.М., приказ № 1127 от 06.12.2023 г.</v>
      </c>
      <c r="AE31" t="str">
        <f t="shared" si="88"/>
        <v/>
      </c>
      <c r="AF31" t="str">
        <f t="shared" si="89"/>
        <v/>
      </c>
      <c r="AG31" t="str">
        <f t="shared" si="90"/>
        <v/>
      </c>
      <c r="AH31" t="str">
        <f t="shared" si="91"/>
        <v/>
      </c>
      <c r="AI31" t="str">
        <f t="shared" si="92"/>
        <v/>
      </c>
      <c r="AJ31" t="str">
        <f t="shared" si="93"/>
        <v/>
      </c>
      <c r="AK31" t="str">
        <f t="shared" si="94"/>
        <v/>
      </c>
      <c r="AL31" t="str">
        <f t="shared" si="95"/>
        <v/>
      </c>
      <c r="AM31" t="str">
        <f t="shared" si="96"/>
        <v/>
      </c>
      <c r="AN31" t="str">
        <f t="shared" si="97"/>
        <v/>
      </c>
      <c r="AO31" t="str">
        <f t="shared" si="98"/>
        <v/>
      </c>
      <c r="AP31" t="str">
        <f t="shared" si="99"/>
        <v/>
      </c>
      <c r="AQ31" t="str">
        <f t="shared" si="100"/>
        <v/>
      </c>
      <c r="AR31" t="str">
        <f t="shared" si="101"/>
        <v/>
      </c>
      <c r="AS31" t="str">
        <f t="shared" si="102"/>
        <v/>
      </c>
      <c r="AT31" t="str">
        <f t="shared" si="103"/>
        <v/>
      </c>
      <c r="AU31" t="str">
        <f t="shared" si="104"/>
        <v/>
      </c>
      <c r="AV31">
        <f t="shared" si="105"/>
        <v>0</v>
      </c>
      <c r="AW31">
        <f t="shared" si="106"/>
        <v>0</v>
      </c>
      <c r="AX31">
        <f t="shared" si="107"/>
        <v>0</v>
      </c>
      <c r="AY31">
        <f t="shared" si="108"/>
        <v>0</v>
      </c>
      <c r="AZ31">
        <f t="shared" si="109"/>
        <v>0</v>
      </c>
      <c r="BA31" t="str">
        <f>CONCATENATE(IF(AV31=0,"",AV31),IF(AW31=0,""," "&amp;АОСР[[#Headers],[в интервале]]&amp;" "&amp;AW31),IF(AX31=0,""," "&amp;АОСР[[#Headers],[колодцев]]&amp;" "&amp;AX31),IF(AY31=0,""," ("&amp;AY31),IF(AZ31=0,""," "&amp;AZ31&amp;")"),IF(OR(AV31=0,AY31&lt;&gt;0,AZ31&lt;&gt;0),")",""))</f>
        <v>)</v>
      </c>
      <c r="BB31" t="str">
        <f t="shared" si="110"/>
        <v/>
      </c>
      <c r="BC31" t="str">
        <f t="shared" si="111"/>
        <v/>
      </c>
      <c r="BD31" t="str">
        <f t="shared" si="128"/>
        <v/>
      </c>
      <c r="BE31" t="str">
        <f t="shared" si="128"/>
        <v/>
      </c>
      <c r="BF31" t="str">
        <f t="shared" si="113"/>
        <v/>
      </c>
      <c r="BG31" s="19" t="e">
        <f t="shared" si="114"/>
        <v>#VALUE!</v>
      </c>
      <c r="BH31" s="19" t="e">
        <f t="shared" si="115"/>
        <v>#VALUE!</v>
      </c>
      <c r="BI31" s="19" t="e">
        <f t="shared" si="116"/>
        <v>#VALUE!</v>
      </c>
      <c r="BJ31" t="str">
        <f t="shared" si="117"/>
        <v/>
      </c>
      <c r="BK31" s="19" t="e">
        <f t="shared" si="118"/>
        <v>#VALUE!</v>
      </c>
      <c r="BL31" s="19" t="e">
        <f t="shared" si="119"/>
        <v>#VALUE!</v>
      </c>
      <c r="BM31" s="19" t="e">
        <f t="shared" si="120"/>
        <v>#VALUE!</v>
      </c>
      <c r="BN31" t="str">
        <f>IF(ISBLANK(_всоответствии_реквизиты),"",CONCATENATE(_всоответствии_реквизиты,IF(ISBLANK(АОСР[СНИП]),"","; "&amp;АОСР[СНИП])))</f>
        <v/>
      </c>
      <c r="BO31" t="str">
        <f t="shared" si="121"/>
        <v/>
      </c>
      <c r="BP31" t="str">
        <f t="shared" si="122"/>
        <v/>
      </c>
      <c r="BQ31" t="str">
        <f t="shared" si="123"/>
        <v/>
      </c>
      <c r="BR31" t="str">
        <f t="shared" si="124"/>
        <v/>
      </c>
      <c r="BS31" t="str">
        <f t="shared" si="125"/>
        <v/>
      </c>
      <c r="BT31" t="str">
        <f t="shared" si="126"/>
        <v/>
      </c>
      <c r="BU31" t="str">
        <f t="shared" si="127"/>
        <v/>
      </c>
      <c r="BV31" t="str">
        <f>IF(LEN(Таблица1[Накта])&gt;60,
    LEFT(Таблица1[Накта],30),
    Таблица1[Накта])</f>
        <v/>
      </c>
      <c r="BW31" t="str">
        <f>IF(ISBLANK(_№ппАОСР),"",_№ппАОСР)</f>
        <v/>
      </c>
    </row>
    <row r="32" spans="1:75" x14ac:dyDescent="0.25">
      <c r="A32" s="29">
        <f>Таблица1[впечать]</f>
        <v>0</v>
      </c>
      <c r="B32" s="29">
        <f t="shared" si="59"/>
        <v>0</v>
      </c>
      <c r="C32" t="str">
        <f t="shared" si="60"/>
        <v/>
      </c>
      <c r="D32" t="str">
        <f t="shared" si="61"/>
        <v/>
      </c>
      <c r="E32" t="str">
        <f t="shared" si="62"/>
        <v/>
      </c>
      <c r="F32" t="str">
        <f t="shared" si="63"/>
        <v/>
      </c>
      <c r="G32" t="str">
        <f t="shared" si="64"/>
        <v/>
      </c>
      <c r="H32" t="str">
        <f t="shared" si="65"/>
        <v/>
      </c>
      <c r="I32" t="str">
        <f t="shared" si="66"/>
        <v/>
      </c>
      <c r="J32" t="str">
        <f t="shared" si="67"/>
        <v/>
      </c>
      <c r="K32" t="str">
        <f t="shared" si="68"/>
        <v/>
      </c>
      <c r="L32" t="str">
        <f t="shared" si="69"/>
        <v/>
      </c>
      <c r="M32" t="str">
        <f t="shared" si="70"/>
        <v/>
      </c>
      <c r="N32" t="str">
        <f t="shared" si="71"/>
        <v/>
      </c>
      <c r="O32" t="str">
        <f t="shared" si="72"/>
        <v/>
      </c>
      <c r="P32" t="str">
        <f t="shared" si="73"/>
        <v/>
      </c>
      <c r="Q32" t="str">
        <f t="shared" si="74"/>
        <v/>
      </c>
      <c r="R32" t="str">
        <f t="shared" si="75"/>
        <v/>
      </c>
      <c r="S32" t="str">
        <f t="shared" si="76"/>
        <v/>
      </c>
      <c r="T32" t="str">
        <f t="shared" si="77"/>
        <v/>
      </c>
      <c r="U32" t="str">
        <f t="shared" si="78"/>
        <v/>
      </c>
      <c r="V32" t="str">
        <f t="shared" si="79"/>
        <v/>
      </c>
      <c r="W32" s="19" t="e">
        <f t="shared" si="80"/>
        <v>#VALUE!</v>
      </c>
      <c r="X32" s="19" t="e">
        <f t="shared" si="81"/>
        <v>#VALUE!</v>
      </c>
      <c r="Y32" s="19" t="e">
        <f t="shared" si="82"/>
        <v>#VALUE!</v>
      </c>
      <c r="Z32" t="str">
        <f t="shared" si="83"/>
        <v/>
      </c>
      <c r="AA32" t="str">
        <f t="shared" si="84"/>
        <v/>
      </c>
      <c r="AB32" t="str">
        <f t="shared" si="85"/>
        <v/>
      </c>
      <c r="AC32" t="str">
        <f t="shared" si="86"/>
        <v/>
      </c>
      <c r="AD32" t="str">
        <f t="shared" si="87"/>
        <v>Начальник участка СУ ООО «КРОСТ-Д» Шевцов А.М., приказ № 1127 от 06.12.2023 г.</v>
      </c>
      <c r="AE32" t="str">
        <f t="shared" si="88"/>
        <v/>
      </c>
      <c r="AF32" t="str">
        <f t="shared" si="89"/>
        <v/>
      </c>
      <c r="AG32" t="str">
        <f t="shared" si="90"/>
        <v/>
      </c>
      <c r="AH32" t="str">
        <f t="shared" si="91"/>
        <v/>
      </c>
      <c r="AI32" t="str">
        <f t="shared" si="92"/>
        <v/>
      </c>
      <c r="AJ32" t="str">
        <f t="shared" si="93"/>
        <v/>
      </c>
      <c r="AK32" t="str">
        <f t="shared" si="94"/>
        <v/>
      </c>
      <c r="AL32" t="str">
        <f t="shared" si="95"/>
        <v/>
      </c>
      <c r="AM32" t="str">
        <f t="shared" si="96"/>
        <v/>
      </c>
      <c r="AN32" t="str">
        <f t="shared" si="97"/>
        <v/>
      </c>
      <c r="AO32" t="str">
        <f t="shared" si="98"/>
        <v/>
      </c>
      <c r="AP32" t="str">
        <f t="shared" si="99"/>
        <v/>
      </c>
      <c r="AQ32" t="str">
        <f t="shared" si="100"/>
        <v/>
      </c>
      <c r="AR32" t="str">
        <f t="shared" si="101"/>
        <v/>
      </c>
      <c r="AS32" t="str">
        <f t="shared" si="102"/>
        <v/>
      </c>
      <c r="AT32" t="str">
        <f t="shared" si="103"/>
        <v/>
      </c>
      <c r="AU32" t="str">
        <f t="shared" si="104"/>
        <v/>
      </c>
      <c r="AV32">
        <f t="shared" si="105"/>
        <v>0</v>
      </c>
      <c r="AW32">
        <f t="shared" si="106"/>
        <v>0</v>
      </c>
      <c r="AX32">
        <f t="shared" si="107"/>
        <v>0</v>
      </c>
      <c r="AY32">
        <f t="shared" si="108"/>
        <v>0</v>
      </c>
      <c r="AZ32">
        <f t="shared" si="109"/>
        <v>0</v>
      </c>
      <c r="BA32" t="str">
        <f>CONCATENATE(IF(AV32=0,"",AV32),IF(AW32=0,""," "&amp;АОСР[[#Headers],[в интервале]]&amp;" "&amp;AW32),IF(AX32=0,""," "&amp;АОСР[[#Headers],[колодцев]]&amp;" "&amp;AX32),IF(AY32=0,""," ("&amp;AY32),IF(AZ32=0,""," "&amp;AZ32&amp;")"),IF(OR(AV32=0,AY32&lt;&gt;0,AZ32&lt;&gt;0),")",""))</f>
        <v>)</v>
      </c>
      <c r="BB32" t="str">
        <f t="shared" si="110"/>
        <v/>
      </c>
      <c r="BC32" t="str">
        <f t="shared" si="111"/>
        <v/>
      </c>
      <c r="BD32" t="str">
        <f t="shared" si="128"/>
        <v/>
      </c>
      <c r="BE32" t="str">
        <f t="shared" si="128"/>
        <v/>
      </c>
      <c r="BF32" t="str">
        <f t="shared" si="113"/>
        <v/>
      </c>
      <c r="BG32" s="19" t="e">
        <f t="shared" si="114"/>
        <v>#VALUE!</v>
      </c>
      <c r="BH32" s="19" t="e">
        <f t="shared" si="115"/>
        <v>#VALUE!</v>
      </c>
      <c r="BI32" s="19" t="e">
        <f t="shared" si="116"/>
        <v>#VALUE!</v>
      </c>
      <c r="BJ32" t="str">
        <f t="shared" si="117"/>
        <v/>
      </c>
      <c r="BK32" s="19" t="e">
        <f t="shared" si="118"/>
        <v>#VALUE!</v>
      </c>
      <c r="BL32" s="19" t="e">
        <f t="shared" si="119"/>
        <v>#VALUE!</v>
      </c>
      <c r="BM32" s="19" t="e">
        <f t="shared" si="120"/>
        <v>#VALUE!</v>
      </c>
      <c r="BN32" t="str">
        <f>IF(ISBLANK(_всоответствии_реквизиты),"",CONCATENATE(_всоответствии_реквизиты,IF(ISBLANK(АОСР[СНИП]),"","; "&amp;АОСР[СНИП])))</f>
        <v/>
      </c>
      <c r="BO32" t="str">
        <f t="shared" si="121"/>
        <v/>
      </c>
      <c r="BP32" t="str">
        <f t="shared" si="122"/>
        <v/>
      </c>
      <c r="BQ32" t="str">
        <f t="shared" si="123"/>
        <v/>
      </c>
      <c r="BR32" t="str">
        <f t="shared" si="124"/>
        <v/>
      </c>
      <c r="BS32" t="str">
        <f t="shared" si="125"/>
        <v/>
      </c>
      <c r="BT32" t="str">
        <f t="shared" si="126"/>
        <v/>
      </c>
      <c r="BU32" t="str">
        <f t="shared" si="127"/>
        <v/>
      </c>
      <c r="BV32" t="str">
        <f>IF(LEN(Таблица1[Накта])&gt;60,
    LEFT(Таблица1[Накта],30),
    Таблица1[Накта])</f>
        <v/>
      </c>
      <c r="BW32" t="str">
        <f>IF(ISBLANK(_№ппАОСР),"",_№ппАОСР)</f>
        <v/>
      </c>
    </row>
    <row r="33" spans="1:75" x14ac:dyDescent="0.25">
      <c r="A33" s="29">
        <f>Таблица1[впечать]</f>
        <v>0</v>
      </c>
      <c r="B33" s="29">
        <f t="shared" si="59"/>
        <v>0</v>
      </c>
      <c r="C33" t="str">
        <f t="shared" si="60"/>
        <v/>
      </c>
      <c r="D33" t="str">
        <f t="shared" si="61"/>
        <v/>
      </c>
      <c r="E33" t="str">
        <f t="shared" si="62"/>
        <v/>
      </c>
      <c r="F33" t="str">
        <f t="shared" si="63"/>
        <v/>
      </c>
      <c r="G33" t="str">
        <f t="shared" si="64"/>
        <v/>
      </c>
      <c r="H33" t="str">
        <f t="shared" si="65"/>
        <v/>
      </c>
      <c r="I33" t="str">
        <f t="shared" si="66"/>
        <v/>
      </c>
      <c r="J33" t="str">
        <f t="shared" si="67"/>
        <v/>
      </c>
      <c r="K33" t="str">
        <f t="shared" si="68"/>
        <v/>
      </c>
      <c r="L33" t="str">
        <f t="shared" si="69"/>
        <v/>
      </c>
      <c r="M33" t="str">
        <f t="shared" si="70"/>
        <v/>
      </c>
      <c r="N33" t="str">
        <f t="shared" si="71"/>
        <v/>
      </c>
      <c r="O33" t="str">
        <f t="shared" si="72"/>
        <v/>
      </c>
      <c r="P33" t="str">
        <f t="shared" si="73"/>
        <v/>
      </c>
      <c r="Q33" t="str">
        <f t="shared" si="74"/>
        <v/>
      </c>
      <c r="R33" t="str">
        <f t="shared" si="75"/>
        <v/>
      </c>
      <c r="S33" t="str">
        <f t="shared" si="76"/>
        <v/>
      </c>
      <c r="T33" t="str">
        <f t="shared" si="77"/>
        <v/>
      </c>
      <c r="U33" t="str">
        <f t="shared" si="78"/>
        <v/>
      </c>
      <c r="V33" t="str">
        <f t="shared" si="79"/>
        <v/>
      </c>
      <c r="W33" s="19" t="e">
        <f t="shared" si="80"/>
        <v>#VALUE!</v>
      </c>
      <c r="X33" s="19" t="e">
        <f t="shared" si="81"/>
        <v>#VALUE!</v>
      </c>
      <c r="Y33" s="19" t="e">
        <f t="shared" si="82"/>
        <v>#VALUE!</v>
      </c>
      <c r="Z33" t="str">
        <f t="shared" si="83"/>
        <v/>
      </c>
      <c r="AA33" t="str">
        <f t="shared" si="84"/>
        <v/>
      </c>
      <c r="AB33" t="str">
        <f t="shared" si="85"/>
        <v/>
      </c>
      <c r="AC33" t="str">
        <f t="shared" si="86"/>
        <v/>
      </c>
      <c r="AD33" t="str">
        <f t="shared" si="87"/>
        <v>Начальник участка СУ ООО «КРОСТ-Д» Шевцов А.М., приказ № 1127 от 06.12.2023 г.</v>
      </c>
      <c r="AE33" t="str">
        <f t="shared" si="88"/>
        <v/>
      </c>
      <c r="AF33" t="str">
        <f t="shared" si="89"/>
        <v/>
      </c>
      <c r="AG33" t="str">
        <f t="shared" si="90"/>
        <v/>
      </c>
      <c r="AH33" t="str">
        <f t="shared" si="91"/>
        <v/>
      </c>
      <c r="AI33" t="str">
        <f t="shared" si="92"/>
        <v/>
      </c>
      <c r="AJ33" t="str">
        <f t="shared" si="93"/>
        <v/>
      </c>
      <c r="AK33" t="str">
        <f t="shared" si="94"/>
        <v/>
      </c>
      <c r="AL33" t="str">
        <f t="shared" si="95"/>
        <v/>
      </c>
      <c r="AM33" t="str">
        <f t="shared" si="96"/>
        <v/>
      </c>
      <c r="AN33" t="str">
        <f t="shared" si="97"/>
        <v/>
      </c>
      <c r="AO33" t="str">
        <f t="shared" si="98"/>
        <v/>
      </c>
      <c r="AP33" t="str">
        <f t="shared" si="99"/>
        <v/>
      </c>
      <c r="AQ33" t="str">
        <f t="shared" si="100"/>
        <v/>
      </c>
      <c r="AR33" t="str">
        <f t="shared" si="101"/>
        <v/>
      </c>
      <c r="AS33" t="str">
        <f t="shared" si="102"/>
        <v/>
      </c>
      <c r="AT33" t="str">
        <f t="shared" si="103"/>
        <v/>
      </c>
      <c r="AU33" t="str">
        <f t="shared" si="104"/>
        <v/>
      </c>
      <c r="AV33">
        <f t="shared" si="105"/>
        <v>0</v>
      </c>
      <c r="AW33">
        <f t="shared" si="106"/>
        <v>0</v>
      </c>
      <c r="AX33">
        <f t="shared" si="107"/>
        <v>0</v>
      </c>
      <c r="AY33">
        <f t="shared" si="108"/>
        <v>0</v>
      </c>
      <c r="AZ33">
        <f t="shared" si="109"/>
        <v>0</v>
      </c>
      <c r="BA33" t="str">
        <f>CONCATENATE(IF(AV33=0,"",AV33),IF(AW33=0,""," "&amp;АОСР[[#Headers],[в интервале]]&amp;" "&amp;AW33),IF(AX33=0,""," "&amp;АОСР[[#Headers],[колодцев]]&amp;" "&amp;AX33),IF(AY33=0,""," ("&amp;AY33),IF(AZ33=0,""," "&amp;AZ33&amp;")"),IF(OR(AV33=0,AY33&lt;&gt;0,AZ33&lt;&gt;0),")",""))</f>
        <v>)</v>
      </c>
      <c r="BB33" t="str">
        <f t="shared" si="110"/>
        <v/>
      </c>
      <c r="BC33" t="str">
        <f t="shared" si="111"/>
        <v/>
      </c>
      <c r="BD33" t="str">
        <f t="shared" si="128"/>
        <v/>
      </c>
      <c r="BE33" t="str">
        <f t="shared" si="128"/>
        <v/>
      </c>
      <c r="BF33" t="str">
        <f t="shared" si="113"/>
        <v/>
      </c>
      <c r="BG33" s="19" t="e">
        <f t="shared" si="114"/>
        <v>#VALUE!</v>
      </c>
      <c r="BH33" s="19" t="e">
        <f t="shared" si="115"/>
        <v>#VALUE!</v>
      </c>
      <c r="BI33" s="19" t="e">
        <f t="shared" si="116"/>
        <v>#VALUE!</v>
      </c>
      <c r="BJ33" t="str">
        <f t="shared" si="117"/>
        <v/>
      </c>
      <c r="BK33" s="19" t="e">
        <f t="shared" si="118"/>
        <v>#VALUE!</v>
      </c>
      <c r="BL33" s="19" t="e">
        <f t="shared" si="119"/>
        <v>#VALUE!</v>
      </c>
      <c r="BM33" s="19" t="e">
        <f t="shared" si="120"/>
        <v>#VALUE!</v>
      </c>
      <c r="BN33" t="str">
        <f>IF(ISBLANK(_всоответствии_реквизиты),"",CONCATENATE(_всоответствии_реквизиты,IF(ISBLANK(АОСР[СНИП]),"","; "&amp;АОСР[СНИП])))</f>
        <v/>
      </c>
      <c r="BO33" t="str">
        <f t="shared" si="121"/>
        <v/>
      </c>
      <c r="BP33" t="str">
        <f t="shared" si="122"/>
        <v/>
      </c>
      <c r="BQ33" t="str">
        <f t="shared" si="123"/>
        <v/>
      </c>
      <c r="BR33" t="str">
        <f t="shared" si="124"/>
        <v/>
      </c>
      <c r="BS33" t="str">
        <f t="shared" si="125"/>
        <v/>
      </c>
      <c r="BT33" t="str">
        <f t="shared" si="126"/>
        <v/>
      </c>
      <c r="BU33" t="str">
        <f t="shared" si="127"/>
        <v/>
      </c>
      <c r="BV33" t="str">
        <f>IF(LEN(Таблица1[Накта])&gt;60,
    LEFT(Таблица1[Накта],30),
    Таблица1[Накта])</f>
        <v/>
      </c>
      <c r="BW33" t="str">
        <f>IF(ISBLANK(_№ппАОСР),"",_№ппАОСР)</f>
        <v/>
      </c>
    </row>
    <row r="34" spans="1:75" x14ac:dyDescent="0.25">
      <c r="A34" s="29">
        <f>Таблица1[впечать]</f>
        <v>0</v>
      </c>
      <c r="B34" s="29">
        <f t="shared" si="59"/>
        <v>0</v>
      </c>
      <c r="C34" t="str">
        <f t="shared" si="60"/>
        <v/>
      </c>
      <c r="D34" t="str">
        <f t="shared" si="61"/>
        <v/>
      </c>
      <c r="E34" t="str">
        <f t="shared" si="62"/>
        <v/>
      </c>
      <c r="F34" t="str">
        <f t="shared" si="63"/>
        <v/>
      </c>
      <c r="G34" t="str">
        <f t="shared" si="64"/>
        <v/>
      </c>
      <c r="H34" t="str">
        <f t="shared" si="65"/>
        <v/>
      </c>
      <c r="I34" t="str">
        <f t="shared" si="66"/>
        <v/>
      </c>
      <c r="J34" t="str">
        <f t="shared" si="67"/>
        <v/>
      </c>
      <c r="K34" t="str">
        <f t="shared" si="68"/>
        <v/>
      </c>
      <c r="L34" t="str">
        <f t="shared" si="69"/>
        <v/>
      </c>
      <c r="M34" t="str">
        <f t="shared" si="70"/>
        <v/>
      </c>
      <c r="N34" t="str">
        <f t="shared" si="71"/>
        <v/>
      </c>
      <c r="O34" t="str">
        <f t="shared" si="72"/>
        <v/>
      </c>
      <c r="P34" t="str">
        <f t="shared" si="73"/>
        <v/>
      </c>
      <c r="Q34" t="str">
        <f t="shared" si="74"/>
        <v/>
      </c>
      <c r="R34" t="str">
        <f t="shared" si="75"/>
        <v/>
      </c>
      <c r="S34" t="str">
        <f t="shared" si="76"/>
        <v/>
      </c>
      <c r="T34" t="str">
        <f t="shared" si="77"/>
        <v/>
      </c>
      <c r="U34" t="str">
        <f t="shared" si="78"/>
        <v/>
      </c>
      <c r="V34" t="str">
        <f t="shared" si="79"/>
        <v/>
      </c>
      <c r="W34" s="19" t="e">
        <f t="shared" si="80"/>
        <v>#VALUE!</v>
      </c>
      <c r="X34" s="19" t="e">
        <f t="shared" si="81"/>
        <v>#VALUE!</v>
      </c>
      <c r="Y34" s="19" t="e">
        <f t="shared" si="82"/>
        <v>#VALUE!</v>
      </c>
      <c r="Z34" t="str">
        <f t="shared" si="83"/>
        <v/>
      </c>
      <c r="AA34" t="str">
        <f t="shared" si="84"/>
        <v/>
      </c>
      <c r="AB34" t="str">
        <f t="shared" si="85"/>
        <v/>
      </c>
      <c r="AC34" t="str">
        <f t="shared" si="86"/>
        <v/>
      </c>
      <c r="AD34" t="str">
        <f t="shared" si="87"/>
        <v>Начальник участка СУ ООО «КРОСТ-Д» Шевцов А.М., приказ № 1127 от 06.12.2023 г.</v>
      </c>
      <c r="AE34" t="str">
        <f t="shared" si="88"/>
        <v/>
      </c>
      <c r="AF34" t="str">
        <f t="shared" si="89"/>
        <v/>
      </c>
      <c r="AG34" t="str">
        <f t="shared" si="90"/>
        <v/>
      </c>
      <c r="AH34" t="str">
        <f t="shared" si="91"/>
        <v/>
      </c>
      <c r="AI34" t="str">
        <f t="shared" si="92"/>
        <v/>
      </c>
      <c r="AJ34" t="str">
        <f t="shared" si="93"/>
        <v/>
      </c>
      <c r="AK34" t="str">
        <f t="shared" si="94"/>
        <v/>
      </c>
      <c r="AL34" t="str">
        <f t="shared" si="95"/>
        <v/>
      </c>
      <c r="AM34" t="str">
        <f t="shared" si="96"/>
        <v/>
      </c>
      <c r="AN34" t="str">
        <f t="shared" si="97"/>
        <v/>
      </c>
      <c r="AO34" t="str">
        <f t="shared" si="98"/>
        <v/>
      </c>
      <c r="AP34" t="str">
        <f t="shared" si="99"/>
        <v/>
      </c>
      <c r="AQ34" t="str">
        <f t="shared" si="100"/>
        <v/>
      </c>
      <c r="AR34" t="str">
        <f t="shared" si="101"/>
        <v/>
      </c>
      <c r="AS34" t="str">
        <f t="shared" si="102"/>
        <v/>
      </c>
      <c r="AT34" t="str">
        <f t="shared" si="103"/>
        <v/>
      </c>
      <c r="AU34" t="str">
        <f t="shared" si="104"/>
        <v/>
      </c>
      <c r="AV34">
        <f t="shared" si="105"/>
        <v>0</v>
      </c>
      <c r="AW34">
        <f t="shared" si="106"/>
        <v>0</v>
      </c>
      <c r="AX34">
        <f t="shared" si="107"/>
        <v>0</v>
      </c>
      <c r="AY34">
        <f t="shared" si="108"/>
        <v>0</v>
      </c>
      <c r="AZ34">
        <f t="shared" si="109"/>
        <v>0</v>
      </c>
      <c r="BA34" t="str">
        <f>CONCATENATE(IF(AV34=0,"",AV34),IF(AW34=0,""," "&amp;АОСР[[#Headers],[в интервале]]&amp;" "&amp;AW34),IF(AX34=0,""," "&amp;АОСР[[#Headers],[колодцев]]&amp;" "&amp;AX34),IF(AY34=0,""," ("&amp;AY34),IF(AZ34=0,""," "&amp;AZ34&amp;")"),IF(OR(AV34=0,AY34&lt;&gt;0,AZ34&lt;&gt;0),")",""))</f>
        <v>)</v>
      </c>
      <c r="BB34" t="str">
        <f t="shared" si="110"/>
        <v/>
      </c>
      <c r="BC34" t="str">
        <f t="shared" si="111"/>
        <v/>
      </c>
      <c r="BD34" t="str">
        <f t="shared" si="128"/>
        <v/>
      </c>
      <c r="BE34" t="str">
        <f t="shared" si="128"/>
        <v/>
      </c>
      <c r="BF34" t="str">
        <f t="shared" si="113"/>
        <v/>
      </c>
      <c r="BG34" s="19" t="e">
        <f t="shared" si="114"/>
        <v>#VALUE!</v>
      </c>
      <c r="BH34" s="19" t="e">
        <f t="shared" si="115"/>
        <v>#VALUE!</v>
      </c>
      <c r="BI34" s="19" t="e">
        <f t="shared" si="116"/>
        <v>#VALUE!</v>
      </c>
      <c r="BJ34" t="str">
        <f t="shared" si="117"/>
        <v/>
      </c>
      <c r="BK34" s="19" t="e">
        <f t="shared" si="118"/>
        <v>#VALUE!</v>
      </c>
      <c r="BL34" s="19" t="e">
        <f t="shared" si="119"/>
        <v>#VALUE!</v>
      </c>
      <c r="BM34" s="19" t="e">
        <f t="shared" si="120"/>
        <v>#VALUE!</v>
      </c>
      <c r="BN34" t="str">
        <f>IF(ISBLANK(_всоответствии_реквизиты),"",CONCATENATE(_всоответствии_реквизиты,IF(ISBLANK(АОСР[СНИП]),"","; "&amp;АОСР[СНИП])))</f>
        <v/>
      </c>
      <c r="BO34" t="str">
        <f t="shared" si="121"/>
        <v/>
      </c>
      <c r="BP34" t="str">
        <f t="shared" si="122"/>
        <v/>
      </c>
      <c r="BQ34" t="str">
        <f t="shared" si="123"/>
        <v/>
      </c>
      <c r="BR34" t="str">
        <f t="shared" si="124"/>
        <v/>
      </c>
      <c r="BS34" t="str">
        <f t="shared" si="125"/>
        <v/>
      </c>
      <c r="BT34" t="str">
        <f t="shared" si="126"/>
        <v/>
      </c>
      <c r="BU34" t="str">
        <f t="shared" si="127"/>
        <v/>
      </c>
      <c r="BV34" t="str">
        <f>IF(LEN(Таблица1[Накта])&gt;60,
    LEFT(Таблица1[Накта],30),
    Таблица1[Накта])</f>
        <v/>
      </c>
      <c r="BW34" t="str">
        <f>IF(ISBLANK(_№ппАОСР),"",_№ппАОСР)</f>
        <v/>
      </c>
    </row>
    <row r="35" spans="1:75" x14ac:dyDescent="0.25">
      <c r="A35" s="29">
        <f>Таблица1[впечать]</f>
        <v>0</v>
      </c>
      <c r="B35" s="29">
        <f t="shared" si="59"/>
        <v>0</v>
      </c>
      <c r="C35" t="str">
        <f t="shared" si="60"/>
        <v/>
      </c>
      <c r="D35" t="str">
        <f t="shared" si="61"/>
        <v/>
      </c>
      <c r="E35" t="str">
        <f t="shared" si="62"/>
        <v/>
      </c>
      <c r="F35" t="str">
        <f t="shared" si="63"/>
        <v/>
      </c>
      <c r="G35" t="str">
        <f t="shared" si="64"/>
        <v/>
      </c>
      <c r="H35" t="str">
        <f t="shared" si="65"/>
        <v/>
      </c>
      <c r="I35" t="str">
        <f t="shared" si="66"/>
        <v/>
      </c>
      <c r="J35" t="str">
        <f t="shared" si="67"/>
        <v/>
      </c>
      <c r="K35" t="str">
        <f t="shared" si="68"/>
        <v/>
      </c>
      <c r="L35" t="str">
        <f t="shared" si="69"/>
        <v/>
      </c>
      <c r="M35" t="str">
        <f t="shared" si="70"/>
        <v/>
      </c>
      <c r="N35" t="str">
        <f t="shared" si="71"/>
        <v/>
      </c>
      <c r="O35" t="str">
        <f t="shared" si="72"/>
        <v/>
      </c>
      <c r="P35" t="str">
        <f t="shared" si="73"/>
        <v/>
      </c>
      <c r="Q35" t="str">
        <f t="shared" si="74"/>
        <v/>
      </c>
      <c r="R35" t="str">
        <f t="shared" si="75"/>
        <v/>
      </c>
      <c r="S35" t="str">
        <f t="shared" si="76"/>
        <v/>
      </c>
      <c r="T35" t="str">
        <f t="shared" si="77"/>
        <v/>
      </c>
      <c r="U35" t="str">
        <f t="shared" si="78"/>
        <v/>
      </c>
      <c r="V35" t="str">
        <f t="shared" si="79"/>
        <v/>
      </c>
      <c r="W35" s="19" t="e">
        <f t="shared" si="80"/>
        <v>#VALUE!</v>
      </c>
      <c r="X35" s="19" t="e">
        <f t="shared" si="81"/>
        <v>#VALUE!</v>
      </c>
      <c r="Y35" s="19" t="e">
        <f t="shared" si="82"/>
        <v>#VALUE!</v>
      </c>
      <c r="Z35" t="str">
        <f t="shared" si="83"/>
        <v/>
      </c>
      <c r="AA35" t="str">
        <f t="shared" si="84"/>
        <v/>
      </c>
      <c r="AB35" t="str">
        <f t="shared" si="85"/>
        <v/>
      </c>
      <c r="AC35" t="str">
        <f t="shared" si="86"/>
        <v/>
      </c>
      <c r="AD35" t="str">
        <f t="shared" si="87"/>
        <v>Начальник участка СУ ООО «КРОСТ-Д» Шевцов А.М., приказ № 1127 от 06.12.2023 г.</v>
      </c>
      <c r="AE35" t="str">
        <f t="shared" si="88"/>
        <v/>
      </c>
      <c r="AF35" t="str">
        <f t="shared" si="89"/>
        <v/>
      </c>
      <c r="AG35" t="str">
        <f t="shared" si="90"/>
        <v/>
      </c>
      <c r="AH35" t="str">
        <f t="shared" si="91"/>
        <v/>
      </c>
      <c r="AI35" t="str">
        <f t="shared" si="92"/>
        <v/>
      </c>
      <c r="AJ35" t="str">
        <f t="shared" si="93"/>
        <v/>
      </c>
      <c r="AK35" t="str">
        <f t="shared" si="94"/>
        <v/>
      </c>
      <c r="AL35" t="str">
        <f t="shared" si="95"/>
        <v/>
      </c>
      <c r="AM35" t="str">
        <f t="shared" si="96"/>
        <v/>
      </c>
      <c r="AN35" t="str">
        <f t="shared" si="97"/>
        <v/>
      </c>
      <c r="AO35" t="str">
        <f t="shared" si="98"/>
        <v/>
      </c>
      <c r="AP35" t="str">
        <f t="shared" si="99"/>
        <v/>
      </c>
      <c r="AQ35" t="str">
        <f t="shared" si="100"/>
        <v/>
      </c>
      <c r="AR35" t="str">
        <f t="shared" si="101"/>
        <v/>
      </c>
      <c r="AS35" t="str">
        <f t="shared" si="102"/>
        <v/>
      </c>
      <c r="AT35" t="str">
        <f t="shared" si="103"/>
        <v/>
      </c>
      <c r="AU35" t="str">
        <f t="shared" si="104"/>
        <v/>
      </c>
      <c r="AV35">
        <f t="shared" si="105"/>
        <v>0</v>
      </c>
      <c r="AW35">
        <f t="shared" si="106"/>
        <v>0</v>
      </c>
      <c r="AX35">
        <f t="shared" si="107"/>
        <v>0</v>
      </c>
      <c r="AY35">
        <f t="shared" si="108"/>
        <v>0</v>
      </c>
      <c r="AZ35">
        <f t="shared" si="109"/>
        <v>0</v>
      </c>
      <c r="BA35" t="str">
        <f>CONCATENATE(IF(AV35=0,"",AV35),IF(AW35=0,""," "&amp;АОСР[[#Headers],[в интервале]]&amp;" "&amp;AW35),IF(AX35=0,""," "&amp;АОСР[[#Headers],[колодцев]]&amp;" "&amp;AX35),IF(AY35=0,""," ("&amp;AY35),IF(AZ35=0,""," "&amp;AZ35&amp;")"),IF(OR(AV35=0,AY35&lt;&gt;0,AZ35&lt;&gt;0),")",""))</f>
        <v>)</v>
      </c>
      <c r="BB35" t="str">
        <f t="shared" si="110"/>
        <v/>
      </c>
      <c r="BC35" t="str">
        <f t="shared" si="111"/>
        <v/>
      </c>
      <c r="BD35" t="str">
        <f t="shared" si="128"/>
        <v/>
      </c>
      <c r="BE35" t="str">
        <f t="shared" si="128"/>
        <v/>
      </c>
      <c r="BF35" t="str">
        <f t="shared" si="113"/>
        <v/>
      </c>
      <c r="BG35" s="19" t="e">
        <f t="shared" si="114"/>
        <v>#VALUE!</v>
      </c>
      <c r="BH35" s="19" t="e">
        <f t="shared" si="115"/>
        <v>#VALUE!</v>
      </c>
      <c r="BI35" s="19" t="e">
        <f t="shared" si="116"/>
        <v>#VALUE!</v>
      </c>
      <c r="BJ35" t="str">
        <f t="shared" si="117"/>
        <v/>
      </c>
      <c r="BK35" s="19" t="e">
        <f t="shared" si="118"/>
        <v>#VALUE!</v>
      </c>
      <c r="BL35" s="19" t="e">
        <f t="shared" si="119"/>
        <v>#VALUE!</v>
      </c>
      <c r="BM35" s="19" t="e">
        <f t="shared" si="120"/>
        <v>#VALUE!</v>
      </c>
      <c r="BN35" t="str">
        <f>IF(ISBLANK(_всоответствии_реквизиты),"",CONCATENATE(_всоответствии_реквизиты,IF(ISBLANK(АОСР[СНИП]),"","; "&amp;АОСР[СНИП])))</f>
        <v/>
      </c>
      <c r="BO35" t="str">
        <f t="shared" si="121"/>
        <v/>
      </c>
      <c r="BP35" t="str">
        <f t="shared" si="122"/>
        <v/>
      </c>
      <c r="BQ35" t="str">
        <f t="shared" si="123"/>
        <v/>
      </c>
      <c r="BR35" t="str">
        <f t="shared" si="124"/>
        <v/>
      </c>
      <c r="BS35" t="str">
        <f t="shared" si="125"/>
        <v/>
      </c>
      <c r="BT35" t="str">
        <f t="shared" si="126"/>
        <v/>
      </c>
      <c r="BU35" t="str">
        <f t="shared" si="127"/>
        <v/>
      </c>
      <c r="BV35" t="str">
        <f>IF(LEN(Таблица1[Накта])&gt;60,
    LEFT(Таблица1[Накта],30),
    Таблица1[Накта])</f>
        <v/>
      </c>
      <c r="BW35" t="str">
        <f>IF(ISBLANK(_№ппАОСР),"",_№ппАОСР)</f>
        <v/>
      </c>
    </row>
    <row r="36" spans="1:75" x14ac:dyDescent="0.25">
      <c r="A36" s="29">
        <f>Таблица1[впечать]</f>
        <v>0</v>
      </c>
      <c r="B36" s="29">
        <f t="shared" si="59"/>
        <v>0</v>
      </c>
      <c r="C36" t="str">
        <f t="shared" si="60"/>
        <v/>
      </c>
      <c r="D36" t="str">
        <f t="shared" si="61"/>
        <v/>
      </c>
      <c r="E36" t="str">
        <f t="shared" si="62"/>
        <v/>
      </c>
      <c r="F36" t="str">
        <f t="shared" si="63"/>
        <v/>
      </c>
      <c r="G36" t="str">
        <f t="shared" si="64"/>
        <v/>
      </c>
      <c r="H36" t="str">
        <f t="shared" si="65"/>
        <v/>
      </c>
      <c r="I36" t="str">
        <f t="shared" si="66"/>
        <v/>
      </c>
      <c r="J36" t="str">
        <f t="shared" si="67"/>
        <v/>
      </c>
      <c r="K36" t="str">
        <f t="shared" si="68"/>
        <v/>
      </c>
      <c r="L36" t="str">
        <f t="shared" si="69"/>
        <v/>
      </c>
      <c r="M36" t="str">
        <f t="shared" si="70"/>
        <v/>
      </c>
      <c r="N36" t="str">
        <f t="shared" si="71"/>
        <v/>
      </c>
      <c r="O36" t="str">
        <f t="shared" si="72"/>
        <v/>
      </c>
      <c r="P36" t="str">
        <f t="shared" si="73"/>
        <v/>
      </c>
      <c r="Q36" t="str">
        <f t="shared" si="74"/>
        <v/>
      </c>
      <c r="R36" t="str">
        <f t="shared" si="75"/>
        <v/>
      </c>
      <c r="S36" t="str">
        <f t="shared" si="76"/>
        <v/>
      </c>
      <c r="T36" t="str">
        <f t="shared" si="77"/>
        <v/>
      </c>
      <c r="U36" t="str">
        <f t="shared" si="78"/>
        <v/>
      </c>
      <c r="V36" t="str">
        <f t="shared" si="79"/>
        <v/>
      </c>
      <c r="W36" s="19" t="e">
        <f t="shared" si="80"/>
        <v>#VALUE!</v>
      </c>
      <c r="X36" s="19" t="e">
        <f t="shared" si="81"/>
        <v>#VALUE!</v>
      </c>
      <c r="Y36" s="19" t="e">
        <f t="shared" si="82"/>
        <v>#VALUE!</v>
      </c>
      <c r="Z36" t="str">
        <f t="shared" si="83"/>
        <v/>
      </c>
      <c r="AA36" t="str">
        <f t="shared" si="84"/>
        <v/>
      </c>
      <c r="AB36" t="str">
        <f t="shared" si="85"/>
        <v/>
      </c>
      <c r="AC36" t="str">
        <f t="shared" si="86"/>
        <v/>
      </c>
      <c r="AD36" t="str">
        <f t="shared" si="87"/>
        <v>Начальник участка СУ ООО «КРОСТ-Д» Шевцов А.М., приказ № 1127 от 06.12.2023 г.</v>
      </c>
      <c r="AE36" t="str">
        <f t="shared" si="88"/>
        <v/>
      </c>
      <c r="AF36" t="str">
        <f t="shared" si="89"/>
        <v/>
      </c>
      <c r="AG36" t="str">
        <f t="shared" si="90"/>
        <v/>
      </c>
      <c r="AH36" t="str">
        <f t="shared" si="91"/>
        <v/>
      </c>
      <c r="AI36" t="str">
        <f t="shared" si="92"/>
        <v/>
      </c>
      <c r="AJ36" t="str">
        <f t="shared" si="93"/>
        <v/>
      </c>
      <c r="AK36" t="str">
        <f t="shared" si="94"/>
        <v/>
      </c>
      <c r="AL36" t="str">
        <f t="shared" si="95"/>
        <v/>
      </c>
      <c r="AM36" t="str">
        <f t="shared" si="96"/>
        <v/>
      </c>
      <c r="AN36" t="str">
        <f t="shared" si="97"/>
        <v/>
      </c>
      <c r="AO36" t="str">
        <f t="shared" si="98"/>
        <v/>
      </c>
      <c r="AP36" t="str">
        <f t="shared" si="99"/>
        <v/>
      </c>
      <c r="AQ36" t="str">
        <f t="shared" si="100"/>
        <v/>
      </c>
      <c r="AR36" t="str">
        <f t="shared" si="101"/>
        <v/>
      </c>
      <c r="AS36" t="str">
        <f t="shared" si="102"/>
        <v/>
      </c>
      <c r="AT36" t="str">
        <f t="shared" si="103"/>
        <v/>
      </c>
      <c r="AU36" t="str">
        <f t="shared" si="104"/>
        <v/>
      </c>
      <c r="AV36">
        <f t="shared" si="105"/>
        <v>0</v>
      </c>
      <c r="AW36">
        <f t="shared" si="106"/>
        <v>0</v>
      </c>
      <c r="AX36">
        <f t="shared" si="107"/>
        <v>0</v>
      </c>
      <c r="AY36">
        <f t="shared" si="108"/>
        <v>0</v>
      </c>
      <c r="AZ36">
        <f t="shared" si="109"/>
        <v>0</v>
      </c>
      <c r="BA36" t="str">
        <f>CONCATENATE(IF(AV36=0,"",AV36),IF(AW36=0,""," "&amp;АОСР[[#Headers],[в интервале]]&amp;" "&amp;AW36),IF(AX36=0,""," "&amp;АОСР[[#Headers],[колодцев]]&amp;" "&amp;AX36),IF(AY36=0,""," ("&amp;AY36),IF(AZ36=0,""," "&amp;AZ36&amp;")"),IF(OR(AV36=0,AY36&lt;&gt;0,AZ36&lt;&gt;0),")",""))</f>
        <v>)</v>
      </c>
      <c r="BB36" t="str">
        <f t="shared" si="110"/>
        <v/>
      </c>
      <c r="BC36" t="str">
        <f t="shared" si="111"/>
        <v/>
      </c>
      <c r="BD36" t="str">
        <f t="shared" si="128"/>
        <v/>
      </c>
      <c r="BE36" t="str">
        <f t="shared" si="128"/>
        <v/>
      </c>
      <c r="BF36" t="str">
        <f t="shared" si="113"/>
        <v/>
      </c>
      <c r="BG36" s="19" t="e">
        <f t="shared" si="114"/>
        <v>#VALUE!</v>
      </c>
      <c r="BH36" s="19" t="e">
        <f t="shared" si="115"/>
        <v>#VALUE!</v>
      </c>
      <c r="BI36" s="19" t="e">
        <f t="shared" si="116"/>
        <v>#VALUE!</v>
      </c>
      <c r="BJ36" t="str">
        <f t="shared" si="117"/>
        <v/>
      </c>
      <c r="BK36" s="19" t="e">
        <f t="shared" si="118"/>
        <v>#VALUE!</v>
      </c>
      <c r="BL36" s="19" t="e">
        <f t="shared" si="119"/>
        <v>#VALUE!</v>
      </c>
      <c r="BM36" s="19" t="e">
        <f t="shared" si="120"/>
        <v>#VALUE!</v>
      </c>
      <c r="BN36" t="str">
        <f>IF(ISBLANK(_всоответствии_реквизиты),"",CONCATENATE(_всоответствии_реквизиты,IF(ISBLANK(АОСР[СНИП]),"","; "&amp;АОСР[СНИП])))</f>
        <v/>
      </c>
      <c r="BO36" t="str">
        <f t="shared" si="121"/>
        <v/>
      </c>
      <c r="BP36" t="str">
        <f t="shared" si="122"/>
        <v/>
      </c>
      <c r="BQ36" t="str">
        <f t="shared" si="123"/>
        <v/>
      </c>
      <c r="BR36" t="str">
        <f t="shared" si="124"/>
        <v/>
      </c>
      <c r="BS36" t="str">
        <f t="shared" si="125"/>
        <v/>
      </c>
      <c r="BT36" t="str">
        <f t="shared" si="126"/>
        <v/>
      </c>
      <c r="BU36" t="str">
        <f t="shared" si="127"/>
        <v/>
      </c>
      <c r="BV36" t="str">
        <f>IF(LEN(Таблица1[Накта])&gt;60,
    LEFT(Таблица1[Накта],30),
    Таблица1[Накта])</f>
        <v/>
      </c>
      <c r="BW36" t="str">
        <f>IF(ISBLANK(_№ппАОСР),"",_№ппАОСР)</f>
        <v/>
      </c>
    </row>
    <row r="37" spans="1:75" x14ac:dyDescent="0.25">
      <c r="A37" s="29">
        <f>Таблица1[впечать]</f>
        <v>0</v>
      </c>
      <c r="B37" s="29">
        <f t="shared" si="59"/>
        <v>0</v>
      </c>
      <c r="C37" t="str">
        <f t="shared" si="60"/>
        <v/>
      </c>
      <c r="D37" t="str">
        <f t="shared" si="61"/>
        <v/>
      </c>
      <c r="E37" t="str">
        <f t="shared" si="62"/>
        <v/>
      </c>
      <c r="F37" t="str">
        <f t="shared" si="63"/>
        <v/>
      </c>
      <c r="G37" t="str">
        <f t="shared" si="64"/>
        <v/>
      </c>
      <c r="H37" t="str">
        <f t="shared" si="65"/>
        <v/>
      </c>
      <c r="I37" t="str">
        <f t="shared" si="66"/>
        <v/>
      </c>
      <c r="J37" t="str">
        <f t="shared" si="67"/>
        <v/>
      </c>
      <c r="K37" t="str">
        <f t="shared" si="68"/>
        <v/>
      </c>
      <c r="L37" t="str">
        <f t="shared" si="69"/>
        <v/>
      </c>
      <c r="M37" t="str">
        <f t="shared" si="70"/>
        <v/>
      </c>
      <c r="N37" t="str">
        <f t="shared" si="71"/>
        <v/>
      </c>
      <c r="O37" t="str">
        <f t="shared" si="72"/>
        <v/>
      </c>
      <c r="P37" t="str">
        <f t="shared" si="73"/>
        <v/>
      </c>
      <c r="Q37" t="str">
        <f t="shared" si="74"/>
        <v/>
      </c>
      <c r="R37" t="str">
        <f t="shared" si="75"/>
        <v/>
      </c>
      <c r="S37" t="str">
        <f t="shared" si="76"/>
        <v/>
      </c>
      <c r="T37" t="str">
        <f t="shared" si="77"/>
        <v/>
      </c>
      <c r="U37" t="str">
        <f t="shared" si="78"/>
        <v/>
      </c>
      <c r="V37" t="str">
        <f t="shared" si="79"/>
        <v/>
      </c>
      <c r="W37" s="19" t="e">
        <f t="shared" si="80"/>
        <v>#VALUE!</v>
      </c>
      <c r="X37" s="19" t="e">
        <f t="shared" si="81"/>
        <v>#VALUE!</v>
      </c>
      <c r="Y37" s="19" t="e">
        <f t="shared" si="82"/>
        <v>#VALUE!</v>
      </c>
      <c r="Z37" t="str">
        <f t="shared" si="83"/>
        <v/>
      </c>
      <c r="AA37" t="str">
        <f t="shared" si="84"/>
        <v/>
      </c>
      <c r="AB37" t="str">
        <f t="shared" si="85"/>
        <v/>
      </c>
      <c r="AC37" t="str">
        <f t="shared" si="86"/>
        <v/>
      </c>
      <c r="AD37" t="str">
        <f t="shared" si="87"/>
        <v>Начальник участка СУ ООО «КРОСТ-Д» Шевцов А.М., приказ № 1127 от 06.12.2023 г.</v>
      </c>
      <c r="AE37" t="str">
        <f t="shared" si="88"/>
        <v/>
      </c>
      <c r="AF37" t="str">
        <f t="shared" si="89"/>
        <v/>
      </c>
      <c r="AG37" t="str">
        <f t="shared" si="90"/>
        <v/>
      </c>
      <c r="AH37" t="str">
        <f t="shared" si="91"/>
        <v/>
      </c>
      <c r="AI37" t="str">
        <f t="shared" si="92"/>
        <v/>
      </c>
      <c r="AJ37" t="str">
        <f t="shared" si="93"/>
        <v/>
      </c>
      <c r="AK37" t="str">
        <f t="shared" si="94"/>
        <v/>
      </c>
      <c r="AL37" t="str">
        <f t="shared" si="95"/>
        <v/>
      </c>
      <c r="AM37" t="str">
        <f t="shared" si="96"/>
        <v/>
      </c>
      <c r="AN37" t="str">
        <f t="shared" si="97"/>
        <v/>
      </c>
      <c r="AO37" t="str">
        <f t="shared" si="98"/>
        <v/>
      </c>
      <c r="AP37" t="str">
        <f t="shared" si="99"/>
        <v/>
      </c>
      <c r="AQ37" t="str">
        <f t="shared" si="100"/>
        <v/>
      </c>
      <c r="AR37" t="str">
        <f t="shared" si="101"/>
        <v/>
      </c>
      <c r="AS37" t="str">
        <f t="shared" si="102"/>
        <v/>
      </c>
      <c r="AT37" t="str">
        <f t="shared" si="103"/>
        <v/>
      </c>
      <c r="AU37" t="str">
        <f t="shared" si="104"/>
        <v/>
      </c>
      <c r="AV37">
        <f t="shared" si="105"/>
        <v>0</v>
      </c>
      <c r="AW37">
        <f t="shared" si="106"/>
        <v>0</v>
      </c>
      <c r="AX37">
        <f t="shared" si="107"/>
        <v>0</v>
      </c>
      <c r="AY37">
        <f t="shared" si="108"/>
        <v>0</v>
      </c>
      <c r="AZ37">
        <f t="shared" si="109"/>
        <v>0</v>
      </c>
      <c r="BA37" t="str">
        <f>CONCATENATE(IF(AV37=0,"",AV37),IF(AW37=0,""," "&amp;АОСР[[#Headers],[в интервале]]&amp;" "&amp;AW37),IF(AX37=0,""," "&amp;АОСР[[#Headers],[колодцев]]&amp;" "&amp;AX37),IF(AY37=0,""," ("&amp;AY37),IF(AZ37=0,""," "&amp;AZ37&amp;")"),IF(OR(AV37=0,AY37&lt;&gt;0,AZ37&lt;&gt;0),")",""))</f>
        <v>)</v>
      </c>
      <c r="BB37" t="str">
        <f t="shared" si="110"/>
        <v/>
      </c>
      <c r="BC37" t="str">
        <f t="shared" si="111"/>
        <v/>
      </c>
      <c r="BD37" t="str">
        <f t="shared" si="128"/>
        <v/>
      </c>
      <c r="BE37" t="str">
        <f t="shared" si="128"/>
        <v/>
      </c>
      <c r="BF37" t="str">
        <f t="shared" si="113"/>
        <v/>
      </c>
      <c r="BG37" s="19" t="e">
        <f t="shared" si="114"/>
        <v>#VALUE!</v>
      </c>
      <c r="BH37" s="19" t="e">
        <f t="shared" si="115"/>
        <v>#VALUE!</v>
      </c>
      <c r="BI37" s="19" t="e">
        <f t="shared" si="116"/>
        <v>#VALUE!</v>
      </c>
      <c r="BJ37" t="str">
        <f t="shared" si="117"/>
        <v/>
      </c>
      <c r="BK37" s="19" t="e">
        <f t="shared" si="118"/>
        <v>#VALUE!</v>
      </c>
      <c r="BL37" s="19" t="e">
        <f t="shared" si="119"/>
        <v>#VALUE!</v>
      </c>
      <c r="BM37" s="19" t="e">
        <f t="shared" si="120"/>
        <v>#VALUE!</v>
      </c>
      <c r="BN37" t="str">
        <f>IF(ISBLANK(_всоответствии_реквизиты),"",CONCATENATE(_всоответствии_реквизиты,IF(ISBLANK(АОСР[СНИП]),"","; "&amp;АОСР[СНИП])))</f>
        <v/>
      </c>
      <c r="BO37" t="str">
        <f t="shared" si="121"/>
        <v/>
      </c>
      <c r="BP37" t="str">
        <f t="shared" si="122"/>
        <v/>
      </c>
      <c r="BQ37" t="str">
        <f t="shared" si="123"/>
        <v/>
      </c>
      <c r="BR37" t="str">
        <f t="shared" si="124"/>
        <v/>
      </c>
      <c r="BS37" t="str">
        <f t="shared" si="125"/>
        <v/>
      </c>
      <c r="BT37" t="str">
        <f t="shared" si="126"/>
        <v/>
      </c>
      <c r="BU37" t="str">
        <f t="shared" si="127"/>
        <v/>
      </c>
      <c r="BV37" t="str">
        <f>IF(LEN(Таблица1[Накта])&gt;60,
    LEFT(Таблица1[Накта],30),
    Таблица1[Накта])</f>
        <v/>
      </c>
      <c r="BW37" t="str">
        <f>IF(ISBLANK(_№ппАОСР),"",_№ппАОСР)</f>
        <v/>
      </c>
    </row>
    <row r="38" spans="1:75" x14ac:dyDescent="0.25">
      <c r="A38" s="29">
        <f>Таблица1[впечать]</f>
        <v>0</v>
      </c>
      <c r="B38" s="29">
        <f t="shared" si="59"/>
        <v>0</v>
      </c>
      <c r="C38" t="str">
        <f t="shared" si="60"/>
        <v/>
      </c>
      <c r="D38" t="str">
        <f t="shared" si="61"/>
        <v/>
      </c>
      <c r="E38" t="str">
        <f t="shared" si="62"/>
        <v/>
      </c>
      <c r="F38" t="str">
        <f t="shared" si="63"/>
        <v/>
      </c>
      <c r="G38" t="str">
        <f t="shared" si="64"/>
        <v/>
      </c>
      <c r="H38" t="str">
        <f t="shared" si="65"/>
        <v/>
      </c>
      <c r="I38" t="str">
        <f t="shared" si="66"/>
        <v/>
      </c>
      <c r="J38" t="str">
        <f t="shared" si="67"/>
        <v/>
      </c>
      <c r="K38" t="str">
        <f t="shared" si="68"/>
        <v/>
      </c>
      <c r="L38" t="str">
        <f t="shared" si="69"/>
        <v/>
      </c>
      <c r="M38" t="str">
        <f t="shared" si="70"/>
        <v/>
      </c>
      <c r="N38" t="str">
        <f t="shared" si="71"/>
        <v/>
      </c>
      <c r="O38" t="str">
        <f t="shared" si="72"/>
        <v/>
      </c>
      <c r="P38" t="str">
        <f t="shared" si="73"/>
        <v/>
      </c>
      <c r="Q38" t="str">
        <f t="shared" si="74"/>
        <v/>
      </c>
      <c r="R38" t="str">
        <f t="shared" si="75"/>
        <v/>
      </c>
      <c r="S38" t="str">
        <f t="shared" si="76"/>
        <v/>
      </c>
      <c r="T38" t="str">
        <f t="shared" si="77"/>
        <v/>
      </c>
      <c r="U38" t="str">
        <f t="shared" si="78"/>
        <v/>
      </c>
      <c r="V38" t="str">
        <f t="shared" si="79"/>
        <v/>
      </c>
      <c r="W38" s="19" t="e">
        <f t="shared" si="80"/>
        <v>#VALUE!</v>
      </c>
      <c r="X38" s="19" t="e">
        <f t="shared" si="81"/>
        <v>#VALUE!</v>
      </c>
      <c r="Y38" s="19" t="e">
        <f t="shared" si="82"/>
        <v>#VALUE!</v>
      </c>
      <c r="Z38" t="str">
        <f t="shared" si="83"/>
        <v/>
      </c>
      <c r="AA38" t="str">
        <f t="shared" si="84"/>
        <v/>
      </c>
      <c r="AB38" t="str">
        <f t="shared" si="85"/>
        <v/>
      </c>
      <c r="AC38" t="str">
        <f t="shared" si="86"/>
        <v/>
      </c>
      <c r="AD38" t="str">
        <f t="shared" si="87"/>
        <v>Начальник участка СУ ООО «КРОСТ-Д» Шевцов А.М., приказ № 1127 от 06.12.2023 г.</v>
      </c>
      <c r="AE38" t="str">
        <f t="shared" si="88"/>
        <v/>
      </c>
      <c r="AF38" t="str">
        <f t="shared" si="89"/>
        <v/>
      </c>
      <c r="AG38" t="str">
        <f t="shared" si="90"/>
        <v/>
      </c>
      <c r="AH38" t="str">
        <f t="shared" si="91"/>
        <v/>
      </c>
      <c r="AI38" t="str">
        <f t="shared" si="92"/>
        <v/>
      </c>
      <c r="AJ38" t="str">
        <f t="shared" si="93"/>
        <v/>
      </c>
      <c r="AK38" t="str">
        <f t="shared" si="94"/>
        <v/>
      </c>
      <c r="AL38" t="str">
        <f t="shared" si="95"/>
        <v/>
      </c>
      <c r="AM38" t="str">
        <f t="shared" si="96"/>
        <v/>
      </c>
      <c r="AN38" t="str">
        <f t="shared" si="97"/>
        <v/>
      </c>
      <c r="AO38" t="str">
        <f t="shared" si="98"/>
        <v/>
      </c>
      <c r="AP38" t="str">
        <f t="shared" si="99"/>
        <v/>
      </c>
      <c r="AQ38" t="str">
        <f t="shared" si="100"/>
        <v/>
      </c>
      <c r="AR38" t="str">
        <f t="shared" si="101"/>
        <v/>
      </c>
      <c r="AS38" t="str">
        <f t="shared" si="102"/>
        <v/>
      </c>
      <c r="AT38" t="str">
        <f t="shared" si="103"/>
        <v/>
      </c>
      <c r="AU38" t="str">
        <f t="shared" si="104"/>
        <v/>
      </c>
      <c r="AV38">
        <f t="shared" si="105"/>
        <v>0</v>
      </c>
      <c r="AW38">
        <f t="shared" si="106"/>
        <v>0</v>
      </c>
      <c r="AX38">
        <f t="shared" si="107"/>
        <v>0</v>
      </c>
      <c r="AY38">
        <f t="shared" si="108"/>
        <v>0</v>
      </c>
      <c r="AZ38">
        <f t="shared" si="109"/>
        <v>0</v>
      </c>
      <c r="BA38" t="str">
        <f>CONCATENATE(IF(AV38=0,"",AV38),IF(AW38=0,""," "&amp;АОСР[[#Headers],[в интервале]]&amp;" "&amp;AW38),IF(AX38=0,""," "&amp;АОСР[[#Headers],[колодцев]]&amp;" "&amp;AX38),IF(AY38=0,""," ("&amp;AY38),IF(AZ38=0,""," "&amp;AZ38&amp;")"),IF(OR(AV38=0,AY38&lt;&gt;0,AZ38&lt;&gt;0),")",""))</f>
        <v>)</v>
      </c>
      <c r="BB38" t="str">
        <f t="shared" si="110"/>
        <v/>
      </c>
      <c r="BC38" t="str">
        <f t="shared" si="111"/>
        <v/>
      </c>
      <c r="BD38" t="str">
        <f t="shared" si="128"/>
        <v/>
      </c>
      <c r="BE38" t="str">
        <f t="shared" si="128"/>
        <v/>
      </c>
      <c r="BF38" t="str">
        <f t="shared" si="113"/>
        <v/>
      </c>
      <c r="BG38" s="19" t="e">
        <f t="shared" si="114"/>
        <v>#VALUE!</v>
      </c>
      <c r="BH38" s="19" t="e">
        <f t="shared" si="115"/>
        <v>#VALUE!</v>
      </c>
      <c r="BI38" s="19" t="e">
        <f t="shared" si="116"/>
        <v>#VALUE!</v>
      </c>
      <c r="BJ38" t="str">
        <f t="shared" si="117"/>
        <v/>
      </c>
      <c r="BK38" s="19" t="e">
        <f t="shared" si="118"/>
        <v>#VALUE!</v>
      </c>
      <c r="BL38" s="19" t="e">
        <f t="shared" si="119"/>
        <v>#VALUE!</v>
      </c>
      <c r="BM38" s="19" t="e">
        <f t="shared" si="120"/>
        <v>#VALUE!</v>
      </c>
      <c r="BN38" t="str">
        <f>IF(ISBLANK(_всоответствии_реквизиты),"",CONCATENATE(_всоответствии_реквизиты,IF(ISBLANK(АОСР[СНИП]),"","; "&amp;АОСР[СНИП])))</f>
        <v/>
      </c>
      <c r="BO38" t="str">
        <f t="shared" si="121"/>
        <v/>
      </c>
      <c r="BP38" t="str">
        <f t="shared" si="122"/>
        <v/>
      </c>
      <c r="BQ38" t="str">
        <f t="shared" si="123"/>
        <v/>
      </c>
      <c r="BR38" t="str">
        <f t="shared" si="124"/>
        <v/>
      </c>
      <c r="BS38" t="str">
        <f t="shared" si="125"/>
        <v/>
      </c>
      <c r="BT38" t="str">
        <f t="shared" si="126"/>
        <v/>
      </c>
      <c r="BU38" t="str">
        <f t="shared" si="127"/>
        <v/>
      </c>
      <c r="BV38" t="str">
        <f>IF(LEN(Таблица1[Накта])&gt;60,
    LEFT(Таблица1[Накта],30),
    Таблица1[Накта])</f>
        <v/>
      </c>
      <c r="BW38" t="str">
        <f>IF(ISBLANK(_№ппАОСР),"",_№ппАОСР)</f>
        <v/>
      </c>
    </row>
    <row r="39" spans="1:75" x14ac:dyDescent="0.25">
      <c r="A39" s="29">
        <f>Таблица1[впечать]</f>
        <v>0</v>
      </c>
      <c r="B39" s="29">
        <f t="shared" si="59"/>
        <v>0</v>
      </c>
      <c r="C39" t="str">
        <f t="shared" si="60"/>
        <v/>
      </c>
      <c r="D39" t="str">
        <f t="shared" si="61"/>
        <v/>
      </c>
      <c r="E39" t="str">
        <f t="shared" si="62"/>
        <v/>
      </c>
      <c r="F39" t="str">
        <f t="shared" si="63"/>
        <v/>
      </c>
      <c r="G39" t="str">
        <f t="shared" si="64"/>
        <v/>
      </c>
      <c r="H39" t="str">
        <f t="shared" si="65"/>
        <v/>
      </c>
      <c r="I39" t="str">
        <f t="shared" si="66"/>
        <v/>
      </c>
      <c r="J39" t="str">
        <f t="shared" si="67"/>
        <v/>
      </c>
      <c r="K39" t="str">
        <f t="shared" si="68"/>
        <v/>
      </c>
      <c r="L39" t="str">
        <f t="shared" si="69"/>
        <v/>
      </c>
      <c r="M39" t="str">
        <f t="shared" si="70"/>
        <v/>
      </c>
      <c r="N39" t="str">
        <f t="shared" si="71"/>
        <v/>
      </c>
      <c r="O39" t="str">
        <f t="shared" si="72"/>
        <v/>
      </c>
      <c r="P39" t="str">
        <f t="shared" si="73"/>
        <v/>
      </c>
      <c r="Q39" t="str">
        <f t="shared" si="74"/>
        <v/>
      </c>
      <c r="R39" t="str">
        <f t="shared" si="75"/>
        <v/>
      </c>
      <c r="S39" t="str">
        <f t="shared" si="76"/>
        <v/>
      </c>
      <c r="T39" t="str">
        <f t="shared" si="77"/>
        <v/>
      </c>
      <c r="U39" t="str">
        <f t="shared" si="78"/>
        <v/>
      </c>
      <c r="V39" t="str">
        <f t="shared" si="79"/>
        <v/>
      </c>
      <c r="W39" s="19" t="e">
        <f t="shared" si="80"/>
        <v>#VALUE!</v>
      </c>
      <c r="X39" s="19" t="e">
        <f t="shared" si="81"/>
        <v>#VALUE!</v>
      </c>
      <c r="Y39" s="19" t="e">
        <f t="shared" si="82"/>
        <v>#VALUE!</v>
      </c>
      <c r="Z39" t="str">
        <f t="shared" si="83"/>
        <v/>
      </c>
      <c r="AA39" t="str">
        <f t="shared" si="84"/>
        <v/>
      </c>
      <c r="AB39" t="str">
        <f t="shared" si="85"/>
        <v/>
      </c>
      <c r="AC39" t="str">
        <f t="shared" si="86"/>
        <v/>
      </c>
      <c r="AD39" t="str">
        <f t="shared" si="87"/>
        <v>Начальник участка СУ ООО «КРОСТ-Д» Шевцов А.М., приказ № 1127 от 06.12.2023 г.</v>
      </c>
      <c r="AE39" t="str">
        <f t="shared" si="88"/>
        <v/>
      </c>
      <c r="AF39" t="str">
        <f t="shared" si="89"/>
        <v/>
      </c>
      <c r="AG39" t="str">
        <f t="shared" si="90"/>
        <v/>
      </c>
      <c r="AH39" t="str">
        <f t="shared" si="91"/>
        <v/>
      </c>
      <c r="AI39" t="str">
        <f t="shared" si="92"/>
        <v/>
      </c>
      <c r="AJ39" t="str">
        <f t="shared" si="93"/>
        <v/>
      </c>
      <c r="AK39" t="str">
        <f t="shared" si="94"/>
        <v/>
      </c>
      <c r="AL39" t="str">
        <f t="shared" si="95"/>
        <v/>
      </c>
      <c r="AM39" t="str">
        <f t="shared" si="96"/>
        <v/>
      </c>
      <c r="AN39" t="str">
        <f t="shared" si="97"/>
        <v/>
      </c>
      <c r="AO39" t="str">
        <f t="shared" si="98"/>
        <v/>
      </c>
      <c r="AP39" t="str">
        <f t="shared" si="99"/>
        <v/>
      </c>
      <c r="AQ39" t="str">
        <f t="shared" si="100"/>
        <v/>
      </c>
      <c r="AR39" t="str">
        <f t="shared" si="101"/>
        <v/>
      </c>
      <c r="AS39" t="str">
        <f t="shared" si="102"/>
        <v/>
      </c>
      <c r="AT39" t="str">
        <f t="shared" si="103"/>
        <v/>
      </c>
      <c r="AU39" t="str">
        <f t="shared" si="104"/>
        <v/>
      </c>
      <c r="AV39">
        <f t="shared" si="105"/>
        <v>0</v>
      </c>
      <c r="AW39">
        <f t="shared" si="106"/>
        <v>0</v>
      </c>
      <c r="AX39">
        <f t="shared" si="107"/>
        <v>0</v>
      </c>
      <c r="AY39">
        <f t="shared" si="108"/>
        <v>0</v>
      </c>
      <c r="AZ39">
        <f t="shared" si="109"/>
        <v>0</v>
      </c>
      <c r="BA39" t="str">
        <f>CONCATENATE(IF(AV39=0,"",AV39),IF(AW39=0,""," "&amp;АОСР[[#Headers],[в интервале]]&amp;" "&amp;AW39),IF(AX39=0,""," "&amp;АОСР[[#Headers],[колодцев]]&amp;" "&amp;AX39),IF(AY39=0,""," ("&amp;AY39),IF(AZ39=0,""," "&amp;AZ39&amp;")"),IF(OR(AV39=0,AY39&lt;&gt;0,AZ39&lt;&gt;0),")",""))</f>
        <v>)</v>
      </c>
      <c r="BB39" t="str">
        <f t="shared" si="110"/>
        <v/>
      </c>
      <c r="BC39" t="str">
        <f t="shared" si="111"/>
        <v/>
      </c>
      <c r="BD39" t="str">
        <f t="shared" si="128"/>
        <v/>
      </c>
      <c r="BE39" t="str">
        <f t="shared" si="128"/>
        <v/>
      </c>
      <c r="BF39" t="str">
        <f t="shared" si="113"/>
        <v/>
      </c>
      <c r="BG39" s="19" t="e">
        <f t="shared" si="114"/>
        <v>#VALUE!</v>
      </c>
      <c r="BH39" s="19" t="e">
        <f t="shared" si="115"/>
        <v>#VALUE!</v>
      </c>
      <c r="BI39" s="19" t="e">
        <f t="shared" si="116"/>
        <v>#VALUE!</v>
      </c>
      <c r="BJ39" t="str">
        <f t="shared" si="117"/>
        <v/>
      </c>
      <c r="BK39" s="19" t="e">
        <f t="shared" si="118"/>
        <v>#VALUE!</v>
      </c>
      <c r="BL39" s="19" t="e">
        <f t="shared" si="119"/>
        <v>#VALUE!</v>
      </c>
      <c r="BM39" s="19" t="e">
        <f t="shared" si="120"/>
        <v>#VALUE!</v>
      </c>
      <c r="BN39" t="str">
        <f>IF(ISBLANK(_всоответствии_реквизиты),"",CONCATENATE(_всоответствии_реквизиты,IF(ISBLANK(АОСР[СНИП]),"","; "&amp;АОСР[СНИП])))</f>
        <v/>
      </c>
      <c r="BO39" t="str">
        <f t="shared" si="121"/>
        <v/>
      </c>
      <c r="BP39" t="str">
        <f t="shared" si="122"/>
        <v/>
      </c>
      <c r="BQ39" t="str">
        <f t="shared" si="123"/>
        <v/>
      </c>
      <c r="BR39" t="str">
        <f t="shared" si="124"/>
        <v/>
      </c>
      <c r="BS39" t="str">
        <f t="shared" si="125"/>
        <v/>
      </c>
      <c r="BT39" t="str">
        <f t="shared" si="126"/>
        <v/>
      </c>
      <c r="BU39" t="str">
        <f t="shared" si="127"/>
        <v/>
      </c>
      <c r="BV39" t="str">
        <f>IF(LEN(Таблица1[Накта])&gt;60,
    LEFT(Таблица1[Накта],30),
    Таблица1[Накта])</f>
        <v/>
      </c>
      <c r="BW39" t="str">
        <f>IF(ISBLANK(_№ппАОСР),"",_№ппАОСР)</f>
        <v/>
      </c>
    </row>
    <row r="40" spans="1:75" x14ac:dyDescent="0.25">
      <c r="A40" s="29">
        <f>Таблица1[впечать]</f>
        <v>0</v>
      </c>
      <c r="B40" s="29">
        <f t="shared" si="59"/>
        <v>0</v>
      </c>
      <c r="C40" t="str">
        <f t="shared" si="60"/>
        <v/>
      </c>
      <c r="D40" t="str">
        <f t="shared" si="61"/>
        <v/>
      </c>
      <c r="E40" t="str">
        <f t="shared" si="62"/>
        <v/>
      </c>
      <c r="F40" t="str">
        <f t="shared" si="63"/>
        <v/>
      </c>
      <c r="G40" t="str">
        <f t="shared" si="64"/>
        <v/>
      </c>
      <c r="H40" t="str">
        <f t="shared" si="65"/>
        <v/>
      </c>
      <c r="I40" t="str">
        <f t="shared" si="66"/>
        <v/>
      </c>
      <c r="J40" t="str">
        <f t="shared" si="67"/>
        <v/>
      </c>
      <c r="K40" t="str">
        <f t="shared" si="68"/>
        <v/>
      </c>
      <c r="L40" t="str">
        <f t="shared" si="69"/>
        <v/>
      </c>
      <c r="M40" t="str">
        <f t="shared" si="70"/>
        <v/>
      </c>
      <c r="N40" t="str">
        <f t="shared" si="71"/>
        <v/>
      </c>
      <c r="O40" t="str">
        <f t="shared" si="72"/>
        <v/>
      </c>
      <c r="P40" t="str">
        <f t="shared" si="73"/>
        <v/>
      </c>
      <c r="Q40" t="str">
        <f t="shared" si="74"/>
        <v/>
      </c>
      <c r="R40" t="str">
        <f t="shared" si="75"/>
        <v/>
      </c>
      <c r="S40" t="str">
        <f t="shared" si="76"/>
        <v/>
      </c>
      <c r="T40" t="str">
        <f t="shared" si="77"/>
        <v/>
      </c>
      <c r="U40" t="str">
        <f t="shared" si="78"/>
        <v/>
      </c>
      <c r="V40" t="str">
        <f t="shared" si="79"/>
        <v/>
      </c>
      <c r="W40" s="19" t="e">
        <f t="shared" si="80"/>
        <v>#VALUE!</v>
      </c>
      <c r="X40" s="19" t="e">
        <f t="shared" si="81"/>
        <v>#VALUE!</v>
      </c>
      <c r="Y40" s="19" t="e">
        <f t="shared" si="82"/>
        <v>#VALUE!</v>
      </c>
      <c r="Z40" t="str">
        <f t="shared" si="83"/>
        <v/>
      </c>
      <c r="AA40" t="str">
        <f t="shared" si="84"/>
        <v/>
      </c>
      <c r="AB40" t="str">
        <f t="shared" si="85"/>
        <v/>
      </c>
      <c r="AC40" t="str">
        <f t="shared" si="86"/>
        <v/>
      </c>
      <c r="AD40" t="str">
        <f t="shared" si="87"/>
        <v>Начальник участка СУ ООО «КРОСТ-Д» Шевцов А.М., приказ № 1127 от 06.12.2023 г.</v>
      </c>
      <c r="AE40" t="str">
        <f t="shared" si="88"/>
        <v/>
      </c>
      <c r="AF40" t="str">
        <f t="shared" si="89"/>
        <v/>
      </c>
      <c r="AG40" t="str">
        <f t="shared" si="90"/>
        <v/>
      </c>
      <c r="AH40" t="str">
        <f t="shared" si="91"/>
        <v/>
      </c>
      <c r="AI40" t="str">
        <f t="shared" si="92"/>
        <v/>
      </c>
      <c r="AJ40" t="str">
        <f t="shared" si="93"/>
        <v/>
      </c>
      <c r="AK40" t="str">
        <f t="shared" si="94"/>
        <v/>
      </c>
      <c r="AL40" t="str">
        <f t="shared" si="95"/>
        <v/>
      </c>
      <c r="AM40" t="str">
        <f t="shared" si="96"/>
        <v/>
      </c>
      <c r="AN40" t="str">
        <f t="shared" si="97"/>
        <v/>
      </c>
      <c r="AO40" t="str">
        <f t="shared" si="98"/>
        <v/>
      </c>
      <c r="AP40" t="str">
        <f t="shared" si="99"/>
        <v/>
      </c>
      <c r="AQ40" t="str">
        <f t="shared" si="100"/>
        <v/>
      </c>
      <c r="AR40" t="str">
        <f t="shared" si="101"/>
        <v/>
      </c>
      <c r="AS40" t="str">
        <f t="shared" si="102"/>
        <v/>
      </c>
      <c r="AT40" t="str">
        <f t="shared" si="103"/>
        <v/>
      </c>
      <c r="AU40" t="str">
        <f t="shared" si="104"/>
        <v/>
      </c>
      <c r="AV40">
        <f t="shared" si="105"/>
        <v>0</v>
      </c>
      <c r="AW40">
        <f t="shared" si="106"/>
        <v>0</v>
      </c>
      <c r="AX40">
        <f t="shared" si="107"/>
        <v>0</v>
      </c>
      <c r="AY40">
        <f t="shared" si="108"/>
        <v>0</v>
      </c>
      <c r="AZ40">
        <f t="shared" si="109"/>
        <v>0</v>
      </c>
      <c r="BA40" t="str">
        <f>CONCATENATE(IF(AV40=0,"",AV40),IF(AW40=0,""," "&amp;АОСР[[#Headers],[в интервале]]&amp;" "&amp;AW40),IF(AX40=0,""," "&amp;АОСР[[#Headers],[колодцев]]&amp;" "&amp;AX40),IF(AY40=0,""," ("&amp;AY40),IF(AZ40=0,""," "&amp;AZ40&amp;")"),IF(OR(AV40=0,AY40&lt;&gt;0,AZ40&lt;&gt;0),")",""))</f>
        <v>)</v>
      </c>
      <c r="BB40" t="str">
        <f t="shared" si="110"/>
        <v/>
      </c>
      <c r="BC40" t="str">
        <f t="shared" si="111"/>
        <v/>
      </c>
      <c r="BD40" t="str">
        <f t="shared" si="128"/>
        <v/>
      </c>
      <c r="BE40" t="str">
        <f t="shared" si="128"/>
        <v/>
      </c>
      <c r="BF40" t="str">
        <f t="shared" si="113"/>
        <v/>
      </c>
      <c r="BG40" s="19" t="e">
        <f t="shared" si="114"/>
        <v>#VALUE!</v>
      </c>
      <c r="BH40" s="19" t="e">
        <f t="shared" si="115"/>
        <v>#VALUE!</v>
      </c>
      <c r="BI40" s="19" t="e">
        <f t="shared" si="116"/>
        <v>#VALUE!</v>
      </c>
      <c r="BJ40" t="str">
        <f t="shared" si="117"/>
        <v/>
      </c>
      <c r="BK40" s="19" t="e">
        <f t="shared" si="118"/>
        <v>#VALUE!</v>
      </c>
      <c r="BL40" s="19" t="e">
        <f t="shared" si="119"/>
        <v>#VALUE!</v>
      </c>
      <c r="BM40" s="19" t="e">
        <f t="shared" si="120"/>
        <v>#VALUE!</v>
      </c>
      <c r="BN40" t="str">
        <f>IF(ISBLANK(_всоответствии_реквизиты),"",CONCATENATE(_всоответствии_реквизиты,IF(ISBLANK(АОСР[СНИП]),"","; "&amp;АОСР[СНИП])))</f>
        <v/>
      </c>
      <c r="BO40" t="str">
        <f t="shared" si="121"/>
        <v/>
      </c>
      <c r="BP40" t="str">
        <f t="shared" si="122"/>
        <v/>
      </c>
      <c r="BQ40" t="str">
        <f t="shared" si="123"/>
        <v/>
      </c>
      <c r="BR40" t="str">
        <f t="shared" si="124"/>
        <v/>
      </c>
      <c r="BS40" t="str">
        <f t="shared" si="125"/>
        <v/>
      </c>
      <c r="BT40" t="str">
        <f t="shared" si="126"/>
        <v/>
      </c>
      <c r="BU40" t="str">
        <f t="shared" si="127"/>
        <v/>
      </c>
      <c r="BV40" t="str">
        <f>IF(LEN(Таблица1[Накта])&gt;60,
    LEFT(Таблица1[Накта],30),
    Таблица1[Накта])</f>
        <v/>
      </c>
      <c r="BW40" t="str">
        <f>IF(ISBLANK(_№ппАОСР),"",_№ппАОСР)</f>
        <v/>
      </c>
    </row>
  </sheetData>
  <dataConsolidate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">
    <tabColor theme="9"/>
  </sheetPr>
  <dimension ref="A3:R4"/>
  <sheetViews>
    <sheetView zoomScale="85" zoomScaleNormal="85" workbookViewId="0">
      <selection activeCell="C4" sqref="C4"/>
    </sheetView>
  </sheetViews>
  <sheetFormatPr defaultRowHeight="15" x14ac:dyDescent="0.25"/>
  <cols>
    <col min="1" max="1" width="9.140625" customWidth="1"/>
    <col min="2" max="2" width="8.7109375" customWidth="1"/>
    <col min="3" max="3" width="47.5703125" customWidth="1"/>
    <col min="4" max="4" width="15" customWidth="1"/>
    <col min="5" max="5" width="11.5703125" customWidth="1"/>
    <col min="6" max="6" width="9.5703125" customWidth="1"/>
    <col min="7" max="7" width="9.28515625" customWidth="1"/>
    <col min="8" max="8" width="14.5703125" customWidth="1"/>
    <col min="9" max="9" width="14.85546875" customWidth="1"/>
    <col min="10" max="10" width="15" bestFit="1" customWidth="1"/>
    <col min="11" max="11" width="40.85546875" customWidth="1"/>
    <col min="12" max="12" width="38.5703125" customWidth="1"/>
    <col min="13" max="13" width="45.5703125" customWidth="1"/>
    <col min="14" max="14" width="26.42578125" customWidth="1"/>
    <col min="15" max="15" width="30.42578125" customWidth="1"/>
    <col min="16" max="16" width="31.42578125" customWidth="1"/>
    <col min="17" max="17" width="29.85546875" customWidth="1"/>
    <col min="18" max="18" width="23.7109375" customWidth="1"/>
  </cols>
  <sheetData>
    <row r="3" spans="1:18" ht="34.5" customHeight="1" x14ac:dyDescent="0.25">
      <c r="A3" s="30" t="s">
        <v>196</v>
      </c>
      <c r="B3" s="20" t="s">
        <v>309</v>
      </c>
      <c r="C3" s="20" t="s">
        <v>0</v>
      </c>
      <c r="D3" s="36" t="s">
        <v>313</v>
      </c>
      <c r="E3" s="36" t="s">
        <v>314</v>
      </c>
      <c r="F3" s="16" t="s">
        <v>1</v>
      </c>
      <c r="G3" s="15" t="s">
        <v>2</v>
      </c>
      <c r="H3" s="15" t="s">
        <v>3</v>
      </c>
      <c r="I3" s="15" t="s">
        <v>4</v>
      </c>
      <c r="J3" s="15" t="s">
        <v>5</v>
      </c>
      <c r="K3" s="17" t="s">
        <v>6</v>
      </c>
      <c r="L3" s="14" t="s">
        <v>7</v>
      </c>
      <c r="M3" s="28" t="s">
        <v>294</v>
      </c>
      <c r="N3" s="15" t="s">
        <v>8</v>
      </c>
      <c r="O3" s="18" t="s">
        <v>9</v>
      </c>
      <c r="P3" s="18" t="s">
        <v>10</v>
      </c>
      <c r="Q3" s="18" t="s">
        <v>11</v>
      </c>
      <c r="R3" s="35" t="s">
        <v>311</v>
      </c>
    </row>
    <row r="4" spans="1:18" x14ac:dyDescent="0.25">
      <c r="A4" s="19"/>
      <c r="B4" s="19">
        <v>1</v>
      </c>
      <c r="C4" s="19" t="s">
        <v>315</v>
      </c>
      <c r="D4" s="19"/>
      <c r="E4" s="19"/>
      <c r="F4" s="19"/>
      <c r="G4" s="19"/>
      <c r="H4" s="20"/>
      <c r="I4" s="20"/>
      <c r="J4" s="20" t="str">
        <f>IF(ISBLANK(АОСР[дата окончания]),"",АОСР[дата окончания])</f>
        <v/>
      </c>
      <c r="K4" s="19" t="str">
        <f t="shared" ref="K4" si="0">работа_полная</f>
        <v xml:space="preserve">Разработка грунта </v>
      </c>
      <c r="L4" s="19"/>
      <c r="M4" s="19"/>
      <c r="N4" s="19"/>
      <c r="O4" s="19"/>
      <c r="P4" s="19"/>
      <c r="Q4" s="19"/>
      <c r="R4" s="19" t="s">
        <v>312</v>
      </c>
    </row>
  </sheetData>
  <dataConsolidate/>
  <dataValidations count="3">
    <dataValidation type="list" allowBlank="1" showInputMessage="1" showErrorMessage="1" sqref="G4">
      <formula1>INDIRECT("ед.измерсправочник")</formula1>
    </dataValidation>
    <dataValidation type="list" allowBlank="1" showInputMessage="1" showErrorMessage="1" sqref="M4">
      <formula1>_материалысправочник</formula1>
    </dataValidation>
    <dataValidation type="list" allowBlank="1" showInputMessage="1" showErrorMessage="1" sqref="R4">
      <formula1>_СНИП_справочник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2" r:id="rId4" name="Button 8">
              <controlPr defaultSize="0" print="0" autoFill="0" autoPict="0" macro="[0]!СформироватьДоговоры">
                <anchor moveWithCells="1" sizeWithCells="1">
                  <from>
                    <xdr:col>3</xdr:col>
                    <xdr:colOff>142875</xdr:colOff>
                    <xdr:row>0</xdr:row>
                    <xdr:rowOff>38100</xdr:rowOff>
                  </from>
                  <to>
                    <xdr:col>4</xdr:col>
                    <xdr:colOff>238125</xdr:colOff>
                    <xdr:row>1</xdr:row>
                    <xdr:rowOff>123825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>
    <tabColor theme="9"/>
  </sheetPr>
  <dimension ref="A1:R3"/>
  <sheetViews>
    <sheetView topLeftCell="L1" workbookViewId="0">
      <selection activeCell="R1" sqref="R1:R1048576"/>
    </sheetView>
  </sheetViews>
  <sheetFormatPr defaultRowHeight="15" x14ac:dyDescent="0.25"/>
  <cols>
    <col min="2" max="2" width="27.28515625" customWidth="1"/>
    <col min="3" max="3" width="18.5703125" customWidth="1"/>
    <col min="4" max="4" width="21.28515625" customWidth="1"/>
    <col min="5" max="5" width="19.28515625" customWidth="1"/>
    <col min="6" max="6" width="18.5703125" customWidth="1"/>
    <col min="7" max="7" width="21.28515625" customWidth="1"/>
    <col min="8" max="8" width="19.28515625" customWidth="1"/>
    <col min="9" max="9" width="18.5703125" customWidth="1"/>
    <col min="10" max="10" width="21.28515625" customWidth="1"/>
    <col min="11" max="11" width="19.28515625" customWidth="1"/>
    <col min="12" max="12" width="18.5703125" customWidth="1"/>
    <col min="13" max="13" width="21.28515625" customWidth="1"/>
    <col min="14" max="14" width="19.28515625" customWidth="1"/>
    <col min="15" max="15" width="18.5703125" customWidth="1"/>
    <col min="16" max="16" width="21.28515625" customWidth="1"/>
    <col min="17" max="17" width="19.28515625" customWidth="1"/>
    <col min="18" max="18" width="51.140625" hidden="1" customWidth="1"/>
    <col min="19" max="19" width="19" bestFit="1" customWidth="1"/>
    <col min="20" max="20" width="16.85546875" bestFit="1" customWidth="1"/>
  </cols>
  <sheetData>
    <row r="1" spans="1:18" x14ac:dyDescent="0.25">
      <c r="A1" t="s">
        <v>212</v>
      </c>
      <c r="B1" t="s">
        <v>213</v>
      </c>
      <c r="C1" t="s">
        <v>214</v>
      </c>
      <c r="D1" t="s">
        <v>216</v>
      </c>
      <c r="E1" t="s">
        <v>215</v>
      </c>
      <c r="F1" t="s">
        <v>217</v>
      </c>
      <c r="G1" t="s">
        <v>218</v>
      </c>
      <c r="H1" t="s">
        <v>219</v>
      </c>
      <c r="I1" t="s">
        <v>220</v>
      </c>
      <c r="J1" t="s">
        <v>221</v>
      </c>
      <c r="K1" t="s">
        <v>222</v>
      </c>
      <c r="L1" t="s">
        <v>223</v>
      </c>
      <c r="M1" t="s">
        <v>224</v>
      </c>
      <c r="N1" t="s">
        <v>225</v>
      </c>
      <c r="O1" t="s">
        <v>226</v>
      </c>
      <c r="P1" t="s">
        <v>227</v>
      </c>
      <c r="Q1" t="s">
        <v>228</v>
      </c>
      <c r="R1" t="s">
        <v>238</v>
      </c>
    </row>
    <row r="2" spans="1:18" x14ac:dyDescent="0.25">
      <c r="A2">
        <v>1</v>
      </c>
      <c r="B2" t="s">
        <v>237</v>
      </c>
      <c r="C2" t="s">
        <v>230</v>
      </c>
      <c r="D2">
        <v>213434</v>
      </c>
      <c r="E2" s="22">
        <v>45311</v>
      </c>
      <c r="F2" t="s">
        <v>232</v>
      </c>
      <c r="G2">
        <v>133245</v>
      </c>
      <c r="H2" s="22">
        <v>45280</v>
      </c>
      <c r="K2" s="22"/>
      <c r="N2" s="22"/>
      <c r="Q2" s="22"/>
      <c r="R2" t="str">
        <f>CONCATENATE(Таблица2[наименование материала],IF(ISBLANK(Таблица2[вид документа 1]),""," ("&amp;Таблица2[вид документа 1]),IF(ISBLANK(Таблица2[номер документа 1]),""," №"&amp;Таблица2[номер документа 1]),IF(ISBLANK(Таблица2[дата документа 1]),""," от "&amp;TEXT(Таблица2[дата документа 1],"ДД.ММ.ГГГГ")),IF(ISBLANK(Таблица2[вид документа 2]),"",", "&amp;Таблица2[вид документа 2]),IF(ISBLANK(Таблица2[номер документа 2]),""," №"&amp;Таблица2[номер документа 2]),IF(ISBLANK(Таблица2[дата документа 2]),""," от "&amp;TEXT(Таблица2[дата документа 2],"ДД.ММ.ГГГГ")),IF(ISBLANK(Таблица2[вид документа 3]),"",", "&amp;Таблица2[вид документа 3]),IF(ISBLANK(Таблица2[номер документа 3]),""," №"&amp;Таблица2[номер документа 3]),IF(ISBLANK(Таблица2[дата документа 3]),""," от "&amp;TEXT(Таблица2[дата документа 3],"ДД.ММ.ГГГГ")),IF(ISBLANK(Таблица2[вид документа 4]),"",", "&amp;Таблица2[вид документа 4]),IF(ISBLANK(Таблица2[номер документа 4]),""," №"&amp;Таблица2[номер документа 4]),IF(ISBLANK(Таблица2[дата документа 4]),""," от "&amp;TEXT(Таблица2[дата документа 4],"ДД.ММ.ГГГГ")),IF(ISBLANK(Таблица2[вид документа 5]),"",", "&amp;Таблица2[вид документа 5]),IF(ISBLANK(Таблица2[номер документа 5]),""," №"&amp;Таблица2[номер документа 5]),IF(ISBLANK(Таблица2[дата документа 5]),")"," от "&amp;TEXT(Таблица2[дата документа 5],"ДД.ММ.ГГГГ")&amp;")"))</f>
        <v>арматура (Паспорт №213434 от 20.01.2024, Сертификат соответствия №133245 от 20.12.2023)</v>
      </c>
    </row>
    <row r="3" spans="1:18" x14ac:dyDescent="0.25">
      <c r="A3">
        <v>2</v>
      </c>
      <c r="B3" t="s">
        <v>293</v>
      </c>
      <c r="C3" t="s">
        <v>234</v>
      </c>
      <c r="D3">
        <v>12331</v>
      </c>
      <c r="E3" s="22">
        <v>45311</v>
      </c>
      <c r="F3" t="s">
        <v>233</v>
      </c>
      <c r="G3">
        <v>112155</v>
      </c>
      <c r="H3" s="22">
        <v>45281</v>
      </c>
      <c r="K3" s="22"/>
      <c r="N3" s="22"/>
      <c r="Q3" s="22"/>
      <c r="R3" t="str">
        <f>CONCATENATE(Таблица2[наименование материала],IF(ISBLANK(Таблица2[вид документа 1]),""," ("&amp;Таблица2[вид документа 1]),IF(ISBLANK(Таблица2[номер документа 1]),""," №"&amp;Таблица2[номер документа 1]),IF(ISBLANK(Таблица2[дата документа 1]),""," от "&amp;TEXT(Таблица2[дата документа 1],"ДД.ММ.ГГГГ")),IF(ISBLANK(Таблица2[вид документа 2]),"",", "&amp;Таблица2[вид документа 2]),IF(ISBLANK(Таблица2[номер документа 2]),""," №"&amp;Таблица2[номер документа 2]),IF(ISBLANK(Таблица2[дата документа 2]),""," от "&amp;TEXT(Таблица2[дата документа 2],"ДД.ММ.ГГГГ")),IF(ISBLANK(Таблица2[вид документа 3]),"",", "&amp;Таблица2[вид документа 3]),IF(ISBLANK(Таблица2[номер документа 3]),""," №"&amp;Таблица2[номер документа 3]),IF(ISBLANK(Таблица2[дата документа 3]),""," от "&amp;TEXT(Таблица2[дата документа 3],"ДД.ММ.ГГГГ")),IF(ISBLANK(Таблица2[вид документа 4]),"",", "&amp;Таблица2[вид документа 4]),IF(ISBLANK(Таблица2[номер документа 4]),""," №"&amp;Таблица2[номер документа 4]),IF(ISBLANK(Таблица2[дата документа 4]),""," от "&amp;TEXT(Таблица2[дата документа 4],"ДД.ММ.ГГГГ")),IF(ISBLANK(Таблица2[вид документа 5]),"",", "&amp;Таблица2[вид документа 5]),IF(ISBLANK(Таблица2[номер документа 5]),""," №"&amp;Таблица2[номер документа 5]),IF(ISBLANK(Таблица2[дата документа 5]),")"," от "&amp;TEXT(Таблица2[дата документа 5],"ДД.ММ.ГГГГ")&amp;")"))</f>
        <v>бетон (Документ о качестве №12331 от 20.01.2024, Декларация о соответствии №112155 от 21.12.2023)</v>
      </c>
    </row>
  </sheetData>
  <dataValidations count="2">
    <dataValidation type="list" allowBlank="1" showInputMessage="1" showErrorMessage="1" sqref="O2:O3 F2:F3 I2:I3 L2:L3">
      <formula1>INDIRECT("виддокументсправочник")</formula1>
    </dataValidation>
    <dataValidation type="list" allowBlank="1" showInputMessage="1" showErrorMessage="1" sqref="C2:C3">
      <formula1>INDIRECT("виддокументсправочник")</formula1>
    </dataValidation>
  </dataValidation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>
    <tabColor theme="4"/>
  </sheetPr>
  <dimension ref="A1:B9"/>
  <sheetViews>
    <sheetView workbookViewId="0">
      <selection activeCell="B3" sqref="B3"/>
    </sheetView>
  </sheetViews>
  <sheetFormatPr defaultRowHeight="15" x14ac:dyDescent="0.25"/>
  <cols>
    <col min="1" max="1" width="12.5703125" customWidth="1"/>
    <col min="2" max="2" width="26.42578125" customWidth="1"/>
  </cols>
  <sheetData>
    <row r="1" spans="1:2" x14ac:dyDescent="0.25">
      <c r="A1" s="27" t="s">
        <v>205</v>
      </c>
      <c r="B1" s="27" t="s">
        <v>229</v>
      </c>
    </row>
    <row r="2" spans="1:2" x14ac:dyDescent="0.25">
      <c r="A2" s="27" t="s">
        <v>199</v>
      </c>
      <c r="B2" s="27" t="s">
        <v>230</v>
      </c>
    </row>
    <row r="3" spans="1:2" x14ac:dyDescent="0.25">
      <c r="A3" s="27" t="s">
        <v>198</v>
      </c>
      <c r="B3" s="27" t="s">
        <v>231</v>
      </c>
    </row>
    <row r="4" spans="1:2" x14ac:dyDescent="0.25">
      <c r="A4" s="27" t="s">
        <v>197</v>
      </c>
      <c r="B4" s="27" t="s">
        <v>232</v>
      </c>
    </row>
    <row r="5" spans="1:2" x14ac:dyDescent="0.25">
      <c r="A5" s="27" t="s">
        <v>200</v>
      </c>
      <c r="B5" s="27" t="s">
        <v>233</v>
      </c>
    </row>
    <row r="6" spans="1:2" x14ac:dyDescent="0.25">
      <c r="A6" s="27" t="s">
        <v>201</v>
      </c>
      <c r="B6" s="27" t="s">
        <v>234</v>
      </c>
    </row>
    <row r="7" spans="1:2" x14ac:dyDescent="0.25">
      <c r="A7" s="27" t="s">
        <v>202</v>
      </c>
      <c r="B7" s="27" t="s">
        <v>235</v>
      </c>
    </row>
    <row r="8" spans="1:2" x14ac:dyDescent="0.25">
      <c r="A8" s="27" t="s">
        <v>203</v>
      </c>
      <c r="B8" s="27" t="s">
        <v>236</v>
      </c>
    </row>
    <row r="9" spans="1:2" x14ac:dyDescent="0.25">
      <c r="A9" s="27" t="s">
        <v>204</v>
      </c>
      <c r="B9" s="21"/>
    </row>
  </sheetData>
  <pageMargins left="0.7" right="0.7" top="0.75" bottom="0.75" header="0.3" footer="0.3"/>
  <tableParts count="2">
    <tablePart r:id="rId1"/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>
    <tabColor theme="4"/>
  </sheetPr>
  <dimension ref="A1:C76"/>
  <sheetViews>
    <sheetView zoomScale="115" zoomScaleNormal="115" workbookViewId="0">
      <pane ySplit="1" topLeftCell="A74" activePane="bottomLeft" state="frozen"/>
      <selection pane="bottomLeft" activeCell="C84" sqref="C84"/>
    </sheetView>
  </sheetViews>
  <sheetFormatPr defaultRowHeight="12.75" x14ac:dyDescent="0.2"/>
  <cols>
    <col min="1" max="1" width="20.85546875" style="13" customWidth="1"/>
    <col min="2" max="2" width="75.28515625" style="13" customWidth="1"/>
    <col min="3" max="3" width="121" style="13" bestFit="1" customWidth="1"/>
    <col min="4" max="16384" width="9.140625" style="13"/>
  </cols>
  <sheetData>
    <row r="1" spans="1:3" x14ac:dyDescent="0.2">
      <c r="A1" s="13" t="s">
        <v>47</v>
      </c>
      <c r="B1" s="13" t="s">
        <v>48</v>
      </c>
      <c r="C1" s="13" t="s">
        <v>49</v>
      </c>
    </row>
    <row r="2" spans="1:3" x14ac:dyDescent="0.2">
      <c r="A2" s="13" t="s">
        <v>50</v>
      </c>
      <c r="B2" s="13" t="s">
        <v>51</v>
      </c>
      <c r="C2" s="13" t="str">
        <f>Снип_таблица[[#This Row],[Шифр норматива]]&amp;" "&amp;Снип_таблица[[#This Row],[Описание]]</f>
        <v>СП 14.13330.2014 Строительство в сейсмических районах</v>
      </c>
    </row>
    <row r="3" spans="1:3" x14ac:dyDescent="0.2">
      <c r="A3" s="13" t="s">
        <v>52</v>
      </c>
      <c r="B3" s="13" t="s">
        <v>53</v>
      </c>
      <c r="C3" s="13" t="str">
        <f>Снип_таблица[[#This Row],[Шифр норматива]]&amp;" "&amp;Снип_таблица[[#This Row],[Описание]]</f>
        <v>СП 15.13330.2012 Каменные и армокаменные конструкции</v>
      </c>
    </row>
    <row r="4" spans="1:3" x14ac:dyDescent="0.2">
      <c r="A4" s="13" t="s">
        <v>54</v>
      </c>
      <c r="B4" s="13" t="s">
        <v>55</v>
      </c>
      <c r="C4" s="13" t="str">
        <f>Снип_таблица[[#This Row],[Шифр норматива]]&amp;" "&amp;Снип_таблица[[#This Row],[Описание]]</f>
        <v>СП 16.13330.2011 Стальные конструкции</v>
      </c>
    </row>
    <row r="5" spans="1:3" x14ac:dyDescent="0.2">
      <c r="A5" s="13" t="s">
        <v>56</v>
      </c>
      <c r="B5" s="13" t="s">
        <v>57</v>
      </c>
      <c r="C5" s="13" t="str">
        <f>Снип_таблица[[#This Row],[Шифр норматива]]&amp;" "&amp;Снип_таблица[[#This Row],[Описание]]</f>
        <v>СП 17.13330.2011 Кровли</v>
      </c>
    </row>
    <row r="6" spans="1:3" x14ac:dyDescent="0.2">
      <c r="A6" s="13" t="s">
        <v>58</v>
      </c>
      <c r="B6" s="13" t="s">
        <v>59</v>
      </c>
      <c r="C6" s="13" t="str">
        <f>Снип_таблица[[#This Row],[Шифр норматива]]&amp;" "&amp;Снип_таблица[[#This Row],[Описание]]</f>
        <v>СП 18.13330.2010 Генеральные планы промышленных предприятий</v>
      </c>
    </row>
    <row r="7" spans="1:3" x14ac:dyDescent="0.2">
      <c r="A7" s="13" t="s">
        <v>60</v>
      </c>
      <c r="B7" s="13" t="s">
        <v>61</v>
      </c>
      <c r="C7" s="13" t="str">
        <f>Снип_таблица[[#This Row],[Шифр норматива]]&amp;" "&amp;Снип_таблица[[#This Row],[Описание]]</f>
        <v>СП 19.13330.2011 Генеральные планы сельскохозяйственных предприятий</v>
      </c>
    </row>
    <row r="8" spans="1:3" x14ac:dyDescent="0.2">
      <c r="A8" s="13" t="s">
        <v>62</v>
      </c>
      <c r="B8" s="13" t="s">
        <v>63</v>
      </c>
      <c r="C8" s="13" t="str">
        <f>Снип_таблица[[#This Row],[Шифр норматива]]&amp;" "&amp;Снип_таблица[[#This Row],[Описание]]</f>
        <v>СП 20.13330.2011 Нагрузки и воздействия</v>
      </c>
    </row>
    <row r="9" spans="1:3" x14ac:dyDescent="0.2">
      <c r="A9" s="13" t="s">
        <v>64</v>
      </c>
      <c r="B9" s="13" t="s">
        <v>65</v>
      </c>
      <c r="C9" s="13" t="str">
        <f>Снип_таблица[[#This Row],[Шифр норматива]]&amp;" "&amp;Снип_таблица[[#This Row],[Описание]]</f>
        <v>СП 21.13330.2012 Здания и сооружения на подрабатываемых территориях и просадочных грунтах</v>
      </c>
    </row>
    <row r="10" spans="1:3" x14ac:dyDescent="0.2">
      <c r="A10" s="13" t="s">
        <v>66</v>
      </c>
      <c r="B10" s="13" t="s">
        <v>67</v>
      </c>
      <c r="C10" s="13" t="str">
        <f>Снип_таблица[[#This Row],[Шифр норматива]]&amp;" "&amp;Снип_таблица[[#This Row],[Описание]]</f>
        <v>СП 22.13330.2011 Основания зданий и сооружений</v>
      </c>
    </row>
    <row r="11" spans="1:3" x14ac:dyDescent="0.2">
      <c r="A11" s="13" t="s">
        <v>68</v>
      </c>
      <c r="B11" s="13" t="s">
        <v>69</v>
      </c>
      <c r="C11" s="13" t="str">
        <f>Снип_таблица[[#This Row],[Шифр норматива]]&amp;" "&amp;Снип_таблица[[#This Row],[Описание]]</f>
        <v>СП 23.13330.2011 Основания гидротехнических сооружений</v>
      </c>
    </row>
    <row r="12" spans="1:3" x14ac:dyDescent="0.2">
      <c r="A12" s="13" t="s">
        <v>70</v>
      </c>
      <c r="B12" s="13" t="s">
        <v>71</v>
      </c>
      <c r="C12" s="13" t="str">
        <f>Снип_таблица[[#This Row],[Шифр норматива]]&amp;" "&amp;Снип_таблица[[#This Row],[Описание]]</f>
        <v>СП 24.13330.2011 Свайные фундаменты</v>
      </c>
    </row>
    <row r="13" spans="1:3" x14ac:dyDescent="0.2">
      <c r="A13" s="13" t="s">
        <v>72</v>
      </c>
      <c r="B13" s="13" t="s">
        <v>73</v>
      </c>
      <c r="C13" s="13" t="str">
        <f>Снип_таблица[[#This Row],[Шифр норматива]]&amp;" "&amp;Снип_таблица[[#This Row],[Описание]]</f>
        <v>СП 25.13330.2012 Основания и фундаменты на вечномерзлых грунтах</v>
      </c>
    </row>
    <row r="14" spans="1:3" x14ac:dyDescent="0.2">
      <c r="A14" s="13" t="s">
        <v>74</v>
      </c>
      <c r="B14" s="13" t="s">
        <v>75</v>
      </c>
      <c r="C14" s="13" t="str">
        <f>Снип_таблица[[#This Row],[Шифр норматива]]&amp;" "&amp;Снип_таблица[[#This Row],[Описание]]</f>
        <v>СП 26.13330.2012 Фундаменты машин с динамическими нагрузками</v>
      </c>
    </row>
    <row r="15" spans="1:3" x14ac:dyDescent="0.2">
      <c r="A15" s="13" t="s">
        <v>76</v>
      </c>
      <c r="B15" s="13" t="s">
        <v>77</v>
      </c>
      <c r="C15" s="13" t="str">
        <f>Снип_таблица[[#This Row],[Шифр норматива]]&amp;" "&amp;Снип_таблица[[#This Row],[Описание]]</f>
        <v>СП 28.13330.2012 Защита строительных конструкций от коррозии</v>
      </c>
    </row>
    <row r="16" spans="1:3" x14ac:dyDescent="0.2">
      <c r="A16" s="13" t="s">
        <v>78</v>
      </c>
      <c r="B16" s="13" t="s">
        <v>79</v>
      </c>
      <c r="C16" s="13" t="str">
        <f>Снип_таблица[[#This Row],[Шифр норматива]]&amp;" "&amp;Снип_таблица[[#This Row],[Описание]]</f>
        <v>СП 29.13330.2011 Полы</v>
      </c>
    </row>
    <row r="17" spans="1:3" x14ac:dyDescent="0.2">
      <c r="A17" s="13" t="s">
        <v>80</v>
      </c>
      <c r="B17" s="13" t="s">
        <v>81</v>
      </c>
      <c r="C17" s="13" t="str">
        <f>Снип_таблица[[#This Row],[Шифр норматива]]&amp;" "&amp;Снип_таблица[[#This Row],[Описание]]</f>
        <v>СП 30.13330.2012 Внутренний водопровод и канализация зданий</v>
      </c>
    </row>
    <row r="18" spans="1:3" x14ac:dyDescent="0.2">
      <c r="A18" s="13" t="s">
        <v>82</v>
      </c>
      <c r="B18" s="13" t="s">
        <v>83</v>
      </c>
      <c r="C18" s="13" t="str">
        <f>Снип_таблица[[#This Row],[Шифр норматива]]&amp;" "&amp;Снип_таблица[[#This Row],[Описание]]</f>
        <v>СП 31.13330.2012 Водоснабжение. Наружные сети и сооружения</v>
      </c>
    </row>
    <row r="19" spans="1:3" x14ac:dyDescent="0.2">
      <c r="A19" s="13" t="s">
        <v>84</v>
      </c>
      <c r="B19" s="13" t="s">
        <v>85</v>
      </c>
      <c r="C19" s="13" t="str">
        <f>Снип_таблица[[#This Row],[Шифр норматива]]&amp;" "&amp;Снип_таблица[[#This Row],[Описание]]</f>
        <v>СП 32.13330.2012 Канализация. Наружные сети и сооружения</v>
      </c>
    </row>
    <row r="20" spans="1:3" x14ac:dyDescent="0.2">
      <c r="A20" s="13" t="s">
        <v>86</v>
      </c>
      <c r="B20" s="13" t="s">
        <v>87</v>
      </c>
      <c r="C20" s="13" t="str">
        <f>Снип_таблица[[#This Row],[Шифр норматива]]&amp;" "&amp;Снип_таблица[[#This Row],[Описание]]</f>
        <v>СП 33.13330.2012 Расчет на прочность стальных трубопроводов</v>
      </c>
    </row>
    <row r="21" spans="1:3" x14ac:dyDescent="0.2">
      <c r="A21" s="13" t="s">
        <v>88</v>
      </c>
      <c r="B21" s="13" t="s">
        <v>89</v>
      </c>
      <c r="C21" s="13" t="str">
        <f>Снип_таблица[[#This Row],[Шифр норматива]]&amp;" "&amp;Снип_таблица[[#This Row],[Описание]]</f>
        <v>СП 34.13330.2012 Автомобильные дороги</v>
      </c>
    </row>
    <row r="22" spans="1:3" x14ac:dyDescent="0.2">
      <c r="A22" s="13" t="s">
        <v>90</v>
      </c>
      <c r="B22" s="13" t="s">
        <v>91</v>
      </c>
      <c r="C22" s="13" t="str">
        <f>Снип_таблица[[#This Row],[Шифр норматива]]&amp;" "&amp;Снип_таблица[[#This Row],[Описание]]</f>
        <v>СП 35.13330.2011 Мосты и трубы</v>
      </c>
    </row>
    <row r="23" spans="1:3" x14ac:dyDescent="0.2">
      <c r="A23" s="13" t="s">
        <v>92</v>
      </c>
      <c r="B23" s="13" t="s">
        <v>93</v>
      </c>
      <c r="C23" s="13" t="str">
        <f>Снип_таблица[[#This Row],[Шифр норматива]]&amp;" "&amp;Снип_таблица[[#This Row],[Описание]]</f>
        <v>СП 36.13330.2012 Магистральные трубопроводы</v>
      </c>
    </row>
    <row r="24" spans="1:3" x14ac:dyDescent="0.2">
      <c r="A24" s="13" t="s">
        <v>94</v>
      </c>
      <c r="B24" s="13" t="s">
        <v>95</v>
      </c>
      <c r="C24" s="13" t="str">
        <f>Снип_таблица[[#This Row],[Шифр норматива]]&amp;" "&amp;Снип_таблица[[#This Row],[Описание]]</f>
        <v>СП 37.13330.2012 Промышленный транспорт</v>
      </c>
    </row>
    <row r="25" spans="1:3" x14ac:dyDescent="0.2">
      <c r="A25" s="13" t="s">
        <v>96</v>
      </c>
      <c r="B25" s="13" t="s">
        <v>97</v>
      </c>
      <c r="C25" s="13" t="str">
        <f>Снип_таблица[[#This Row],[Шифр норматива]]&amp;" "&amp;Снип_таблица[[#This Row],[Описание]]</f>
        <v>СП 38.13330.2012 Нагрузки и воздействия на гидротехнические сооружения (волновые, ледовые и от судов)</v>
      </c>
    </row>
    <row r="26" spans="1:3" x14ac:dyDescent="0.2">
      <c r="A26" s="13" t="s">
        <v>98</v>
      </c>
      <c r="B26" s="13" t="s">
        <v>99</v>
      </c>
      <c r="C26" s="13" t="str">
        <f>Снип_таблица[[#This Row],[Шифр норматива]]&amp;" "&amp;Снип_таблица[[#This Row],[Описание]]</f>
        <v>СП 39.13330.2012 Плотины из грунтовых материалов</v>
      </c>
    </row>
    <row r="27" spans="1:3" x14ac:dyDescent="0.2">
      <c r="A27" s="13" t="s">
        <v>100</v>
      </c>
      <c r="B27" s="13" t="s">
        <v>101</v>
      </c>
      <c r="C27" s="13" t="str">
        <f>Снип_таблица[[#This Row],[Шифр норматива]]&amp;" "&amp;Снип_таблица[[#This Row],[Описание]]</f>
        <v>СП 40.13330.2012 Плотины бетонные и железобетонные</v>
      </c>
    </row>
    <row r="28" spans="1:3" x14ac:dyDescent="0.2">
      <c r="A28" s="13" t="s">
        <v>102</v>
      </c>
      <c r="B28" s="13" t="s">
        <v>103</v>
      </c>
      <c r="C28" s="13" t="str">
        <f>Снип_таблица[[#This Row],[Шифр норматива]]&amp;" "&amp;Снип_таблица[[#This Row],[Описание]]</f>
        <v>СП 41.13330.2012 Бетонные и железобетонные конструкции гидротехнических сооружений</v>
      </c>
    </row>
    <row r="29" spans="1:3" x14ac:dyDescent="0.2">
      <c r="A29" s="13" t="s">
        <v>104</v>
      </c>
      <c r="B29" s="13" t="s">
        <v>105</v>
      </c>
      <c r="C29" s="13" t="str">
        <f>Снип_таблица[[#This Row],[Шифр норматива]]&amp;" "&amp;Снип_таблица[[#This Row],[Описание]]</f>
        <v>СП 42.13330.2011 Градостроительство. Планировка и застройка городских и сельских поселений</v>
      </c>
    </row>
    <row r="30" spans="1:3" x14ac:dyDescent="0.2">
      <c r="A30" s="13" t="s">
        <v>106</v>
      </c>
      <c r="B30" s="13" t="s">
        <v>107</v>
      </c>
      <c r="C30" s="13" t="str">
        <f>Снип_таблица[[#This Row],[Шифр норматива]]&amp;" "&amp;Снип_таблица[[#This Row],[Описание]]</f>
        <v>СП 43.13330.2012 Сооружения промышленных предприятий</v>
      </c>
    </row>
    <row r="31" spans="1:3" x14ac:dyDescent="0.2">
      <c r="A31" s="13" t="s">
        <v>108</v>
      </c>
      <c r="B31" s="13" t="s">
        <v>109</v>
      </c>
      <c r="C31" s="13" t="str">
        <f>Снип_таблица[[#This Row],[Шифр норматива]]&amp;" "&amp;Снип_таблица[[#This Row],[Описание]]</f>
        <v>СП 45.13330.2012 Земляные сооружения, основания и фундаменты</v>
      </c>
    </row>
    <row r="32" spans="1:3" x14ac:dyDescent="0.2">
      <c r="A32" s="13" t="s">
        <v>110</v>
      </c>
      <c r="B32" s="13" t="s">
        <v>91</v>
      </c>
      <c r="C32" s="13" t="str">
        <f>Снип_таблица[[#This Row],[Шифр норматива]]&amp;" "&amp;Снип_таблица[[#This Row],[Описание]]</f>
        <v>СП 46.13330.2012 Мосты и трубы</v>
      </c>
    </row>
    <row r="33" spans="1:3" x14ac:dyDescent="0.2">
      <c r="A33" s="13" t="s">
        <v>111</v>
      </c>
      <c r="B33" s="13" t="s">
        <v>112</v>
      </c>
      <c r="C33" s="13" t="str">
        <f>Снип_таблица[[#This Row],[Шифр норматива]]&amp;" "&amp;Снип_таблица[[#This Row],[Описание]]</f>
        <v>СП 47.13330.2012 Инженерные изыскания для строительства. Основные положения</v>
      </c>
    </row>
    <row r="34" spans="1:3" x14ac:dyDescent="0.2">
      <c r="A34" s="13" t="s">
        <v>113</v>
      </c>
      <c r="B34" s="13" t="s">
        <v>114</v>
      </c>
      <c r="C34" s="13" t="str">
        <f>Снип_таблица[[#This Row],[Шифр норматива]]&amp;" "&amp;Снип_таблица[[#This Row],[Описание]]</f>
        <v>СП 50.13330.2012 Тепловая защита зданий</v>
      </c>
    </row>
    <row r="35" spans="1:3" x14ac:dyDescent="0.2">
      <c r="A35" s="13" t="s">
        <v>115</v>
      </c>
      <c r="B35" s="13" t="s">
        <v>116</v>
      </c>
      <c r="C35" s="13" t="str">
        <f>Снип_таблица[[#This Row],[Шифр норматива]]&amp;" "&amp;Снип_таблица[[#This Row],[Описание]]</f>
        <v>СП 51.13330.2011 Защита от шума</v>
      </c>
    </row>
    <row r="36" spans="1:3" x14ac:dyDescent="0.2">
      <c r="A36" s="13" t="s">
        <v>117</v>
      </c>
      <c r="B36" s="13" t="s">
        <v>118</v>
      </c>
      <c r="C36" s="13" t="str">
        <f>Снип_таблица[[#This Row],[Шифр норматива]]&amp;" "&amp;Снип_таблица[[#This Row],[Описание]]</f>
        <v>СП 52.13330.2011 Естественное и искусственное освещение</v>
      </c>
    </row>
    <row r="37" spans="1:3" x14ac:dyDescent="0.2">
      <c r="A37" s="13" t="s">
        <v>119</v>
      </c>
      <c r="B37" s="13" t="s">
        <v>120</v>
      </c>
      <c r="C37" s="13" t="str">
        <f>Снип_таблица[[#This Row],[Шифр норматива]]&amp;" "&amp;Снип_таблица[[#This Row],[Описание]]</f>
        <v>СП 54.13330.2011 Здания жилые многоквартирные</v>
      </c>
    </row>
    <row r="38" spans="1:3" x14ac:dyDescent="0.2">
      <c r="A38" s="13" t="s">
        <v>121</v>
      </c>
      <c r="B38" s="13" t="s">
        <v>122</v>
      </c>
      <c r="C38" s="13" t="str">
        <f>Снип_таблица[[#This Row],[Шифр норматива]]&amp;" "&amp;Снип_таблица[[#This Row],[Описание]]</f>
        <v>СП 56.13330.2011 Производственные здания</v>
      </c>
    </row>
    <row r="39" spans="1:3" x14ac:dyDescent="0.2">
      <c r="A39" s="13" t="s">
        <v>123</v>
      </c>
      <c r="B39" s="13" t="s">
        <v>124</v>
      </c>
      <c r="C39" s="13" t="str">
        <f>Снип_таблица[[#This Row],[Шифр норматива]]&amp;" "&amp;Снип_таблица[[#This Row],[Описание]]</f>
        <v>СП 58.13330.2012 Гидротехнические сооружения</v>
      </c>
    </row>
    <row r="40" spans="1:3" x14ac:dyDescent="0.2">
      <c r="A40" s="13" t="s">
        <v>125</v>
      </c>
      <c r="B40" s="13" t="s">
        <v>126</v>
      </c>
      <c r="C40" s="13" t="str">
        <f>Снип_таблица[[#This Row],[Шифр норматива]]&amp;" "&amp;Снип_таблица[[#This Row],[Описание]]</f>
        <v>СП 59.13330.2012 Доступность зданий и сооружений для маломобильных групп населения</v>
      </c>
    </row>
    <row r="41" spans="1:3" x14ac:dyDescent="0.2">
      <c r="A41" s="13" t="s">
        <v>127</v>
      </c>
      <c r="B41" s="13" t="s">
        <v>128</v>
      </c>
      <c r="C41" s="13" t="str">
        <f>Снип_таблица[[#This Row],[Шифр норматива]]&amp;" "&amp;Снип_таблица[[#This Row],[Описание]]</f>
        <v>СП 60.13330.2012 Отопление, вентиляция и кондиционирование воздуха</v>
      </c>
    </row>
    <row r="42" spans="1:3" x14ac:dyDescent="0.2">
      <c r="A42" s="13" t="s">
        <v>129</v>
      </c>
      <c r="B42" s="13" t="s">
        <v>130</v>
      </c>
      <c r="C42" s="13" t="str">
        <f>Снип_таблица[[#This Row],[Шифр норматива]]&amp;" "&amp;Снип_таблица[[#This Row],[Описание]]</f>
        <v>СП 61.13330.2012 Тепловая изоляция оборудования и трубопроводов</v>
      </c>
    </row>
    <row r="43" spans="1:3" x14ac:dyDescent="0.2">
      <c r="A43" s="13" t="s">
        <v>131</v>
      </c>
      <c r="B43" s="13" t="s">
        <v>132</v>
      </c>
      <c r="C43" s="13" t="str">
        <f>Снип_таблица[[#This Row],[Шифр норматива]]&amp;" "&amp;Снип_таблица[[#This Row],[Описание]]</f>
        <v>СП 62.13330.2011 Газораспределительные системы</v>
      </c>
    </row>
    <row r="44" spans="1:3" x14ac:dyDescent="0.2">
      <c r="A44" s="13" t="s">
        <v>133</v>
      </c>
      <c r="B44" s="13" t="s">
        <v>134</v>
      </c>
      <c r="C44" s="13" t="str">
        <f>Снип_таблица[[#This Row],[Шифр норматива]]&amp;" "&amp;Снип_таблица[[#This Row],[Описание]]</f>
        <v>СП 63.13330.2012 Бетонные и железобетонные конструкции</v>
      </c>
    </row>
    <row r="45" spans="1:3" x14ac:dyDescent="0.2">
      <c r="A45" s="13" t="s">
        <v>135</v>
      </c>
      <c r="B45" s="13" t="s">
        <v>136</v>
      </c>
      <c r="C45" s="13" t="str">
        <f>Снип_таблица[[#This Row],[Шифр норматива]]&amp;" "&amp;Снип_таблица[[#This Row],[Описание]]</f>
        <v>СП 64.13330.2011 Деревянные конструкции</v>
      </c>
    </row>
    <row r="46" spans="1:3" x14ac:dyDescent="0.2">
      <c r="A46" s="13" t="s">
        <v>137</v>
      </c>
      <c r="B46" s="13" t="s">
        <v>138</v>
      </c>
      <c r="C46" s="13" t="str">
        <f>Снип_таблица[[#This Row],[Шифр норматива]]&amp;" "&amp;Снип_таблица[[#This Row],[Описание]]</f>
        <v>СП 70.13330.2012 Несущие и ограждающие конструкции</v>
      </c>
    </row>
    <row r="47" spans="1:3" x14ac:dyDescent="0.2">
      <c r="A47" s="13" t="s">
        <v>139</v>
      </c>
      <c r="B47" s="13" t="s">
        <v>89</v>
      </c>
      <c r="C47" s="13" t="str">
        <f>Снип_таблица[[#This Row],[Шифр норматива]]&amp;" "&amp;Снип_таблица[[#This Row],[Описание]]</f>
        <v>СП 78.13330.2012 Автомобильные дороги</v>
      </c>
    </row>
    <row r="48" spans="1:3" x14ac:dyDescent="0.2">
      <c r="A48" s="13" t="s">
        <v>140</v>
      </c>
      <c r="B48" s="13" t="s">
        <v>91</v>
      </c>
      <c r="C48" s="13" t="str">
        <f>Снип_таблица[[#This Row],[Шифр норматива]]&amp;" "&amp;Снип_таблица[[#This Row],[Описание]]</f>
        <v>СП 79.13330.2012 Мосты и трубы</v>
      </c>
    </row>
    <row r="49" spans="1:3" x14ac:dyDescent="0.2">
      <c r="A49" s="13" t="s">
        <v>141</v>
      </c>
      <c r="B49" s="13" t="s">
        <v>93</v>
      </c>
      <c r="C49" s="13" t="str">
        <f>Снип_таблица[[#This Row],[Шифр норматива]]&amp;" "&amp;Снип_таблица[[#This Row],[Описание]]</f>
        <v>СП 86.13330.2014 Магистральные трубопроводы</v>
      </c>
    </row>
    <row r="50" spans="1:3" x14ac:dyDescent="0.2">
      <c r="A50" s="13" t="s">
        <v>142</v>
      </c>
      <c r="B50" s="13" t="s">
        <v>143</v>
      </c>
      <c r="C50" s="13" t="str">
        <f>Снип_таблица[[#This Row],[Шифр норматива]]&amp;" "&amp;Снип_таблица[[#This Row],[Описание]]</f>
        <v>СП 88.13330.2014 Защитные сооружения гражданской обороны</v>
      </c>
    </row>
    <row r="51" spans="1:3" x14ac:dyDescent="0.2">
      <c r="A51" s="13" t="s">
        <v>144</v>
      </c>
      <c r="B51" s="13" t="s">
        <v>145</v>
      </c>
      <c r="C51" s="13" t="str">
        <f>Снип_таблица[[#This Row],[Шифр норматива]]&amp;" "&amp;Снип_таблица[[#This Row],[Описание]]</f>
        <v>СП 89.13330.2012 Котельные установки</v>
      </c>
    </row>
    <row r="52" spans="1:3" x14ac:dyDescent="0.2">
      <c r="A52" s="13" t="s">
        <v>146</v>
      </c>
      <c r="B52" s="13" t="s">
        <v>147</v>
      </c>
      <c r="C52" s="13" t="str">
        <f>Снип_таблица[[#This Row],[Шифр норматива]]&amp;" "&amp;Снип_таблица[[#This Row],[Описание]]</f>
        <v>СП 90.13330.2012 Электростанции тепловые</v>
      </c>
    </row>
    <row r="53" spans="1:3" x14ac:dyDescent="0.2">
      <c r="A53" s="13" t="s">
        <v>148</v>
      </c>
      <c r="B53" s="13" t="s">
        <v>149</v>
      </c>
      <c r="C53" s="13" t="str">
        <f>Снип_таблица[[#This Row],[Шифр норматива]]&amp;" "&amp;Снип_таблица[[#This Row],[Описание]]</f>
        <v>СП 91.13330.2012 Подземные горные выработки</v>
      </c>
    </row>
    <row r="54" spans="1:3" x14ac:dyDescent="0.2">
      <c r="A54" s="13" t="s">
        <v>150</v>
      </c>
      <c r="B54" s="13" t="s">
        <v>151</v>
      </c>
      <c r="C54" s="13" t="str">
        <f>Снип_таблица[[#This Row],[Шифр норматива]]&amp;" "&amp;Снип_таблица[[#This Row],[Описание]]</f>
        <v>СП 92.13330.2012 Склады сухих минеральных удобрений и химических средств защиты растений</v>
      </c>
    </row>
    <row r="55" spans="1:3" x14ac:dyDescent="0.2">
      <c r="A55" s="13" t="s">
        <v>152</v>
      </c>
      <c r="B55" s="13" t="s">
        <v>153</v>
      </c>
      <c r="C55" s="13" t="str">
        <f>Снип_таблица[[#This Row],[Шифр норматива]]&amp;" "&amp;Снип_таблица[[#This Row],[Описание]]</f>
        <v>СП 98.13330.2012 Трамвайные и троллейбусные линии</v>
      </c>
    </row>
    <row r="56" spans="1:3" x14ac:dyDescent="0.2">
      <c r="A56" s="13" t="s">
        <v>154</v>
      </c>
      <c r="B56" s="13" t="s">
        <v>155</v>
      </c>
      <c r="C56" s="13" t="str">
        <f>Снип_таблица[[#This Row],[Шифр норматива]]&amp;" "&amp;Снип_таблица[[#This Row],[Описание]]</f>
        <v>СП 101.13330.2012 Подпорные стены, судоходные шлюзы, рыбопропускные и рыбозащитные сооружения</v>
      </c>
    </row>
    <row r="57" spans="1:3" x14ac:dyDescent="0.2">
      <c r="A57" s="13" t="s">
        <v>156</v>
      </c>
      <c r="B57" s="13" t="s">
        <v>157</v>
      </c>
      <c r="C57" s="13" t="str">
        <f>Снип_таблица[[#This Row],[Шифр норматива]]&amp;" "&amp;Снип_таблица[[#This Row],[Описание]]</f>
        <v>СП 102.13330.2012 Туннели гидротехнические</v>
      </c>
    </row>
    <row r="58" spans="1:3" x14ac:dyDescent="0.2">
      <c r="A58" s="13" t="s">
        <v>158</v>
      </c>
      <c r="B58" s="13" t="s">
        <v>159</v>
      </c>
      <c r="C58" s="13" t="str">
        <f>Снип_таблица[[#This Row],[Шифр норматива]]&amp;" "&amp;Снип_таблица[[#This Row],[Описание]]</f>
        <v>СП 103.13330.2012 Защита горных выработок от подземных и поверхностных вод</v>
      </c>
    </row>
    <row r="59" spans="1:3" x14ac:dyDescent="0.2">
      <c r="A59" s="13" t="s">
        <v>160</v>
      </c>
      <c r="B59" s="13" t="s">
        <v>161</v>
      </c>
      <c r="C59" s="13" t="str">
        <f>Снип_таблица[[#This Row],[Шифр норматива]]&amp;" "&amp;Снип_таблица[[#This Row],[Описание]]</f>
        <v>СП 105.13330.2012 Здания и помещения для хранения и переработки сельскохозяйственной продукции</v>
      </c>
    </row>
    <row r="60" spans="1:3" x14ac:dyDescent="0.2">
      <c r="A60" s="13" t="s">
        <v>162</v>
      </c>
      <c r="B60" s="13" t="s">
        <v>163</v>
      </c>
      <c r="C60" s="13" t="str">
        <f>Снип_таблица[[#This Row],[Шифр норматива]]&amp;" "&amp;Снип_таблица[[#This Row],[Описание]]</f>
        <v>СП 106.13330.2012 Животноводческие, птицеводческие и звероводческие здания и помещения</v>
      </c>
    </row>
    <row r="61" spans="1:3" x14ac:dyDescent="0.2">
      <c r="A61" s="13" t="s">
        <v>164</v>
      </c>
      <c r="B61" s="13" t="s">
        <v>165</v>
      </c>
      <c r="C61" s="13" t="str">
        <f>Снип_таблица[[#This Row],[Шифр норматива]]&amp;" "&amp;Снип_таблица[[#This Row],[Описание]]</f>
        <v>СП 107.13330.2012 Теплицы и парники</v>
      </c>
    </row>
    <row r="62" spans="1:3" x14ac:dyDescent="0.2">
      <c r="A62" s="13" t="s">
        <v>166</v>
      </c>
      <c r="B62" s="13" t="s">
        <v>167</v>
      </c>
      <c r="C62" s="13" t="str">
        <f>Снип_таблица[[#This Row],[Шифр норматива]]&amp;" "&amp;Снип_таблица[[#This Row],[Описание]]</f>
        <v>СП 108.13330.2012 Предприятия, здания и сооружения по хранению и переработке зерна</v>
      </c>
    </row>
    <row r="63" spans="1:3" x14ac:dyDescent="0.2">
      <c r="A63" s="13" t="s">
        <v>168</v>
      </c>
      <c r="B63" s="13" t="s">
        <v>169</v>
      </c>
      <c r="C63" s="13" t="str">
        <f>Снип_таблица[[#This Row],[Шифр норматива]]&amp;" "&amp;Снип_таблица[[#This Row],[Описание]]</f>
        <v>СП 109.13330.2012 Холодильники</v>
      </c>
    </row>
    <row r="64" spans="1:3" x14ac:dyDescent="0.2">
      <c r="A64" s="13" t="s">
        <v>170</v>
      </c>
      <c r="B64" s="13" t="s">
        <v>171</v>
      </c>
      <c r="C64" s="13" t="str">
        <f>Снип_таблица[[#This Row],[Шифр норматива]]&amp;" "&amp;Снип_таблица[[#This Row],[Описание]]</f>
        <v>СП 113.13330.2012 Стоянки автомобилей</v>
      </c>
    </row>
    <row r="65" spans="1:3" x14ac:dyDescent="0.2">
      <c r="A65" s="13" t="s">
        <v>172</v>
      </c>
      <c r="B65" s="13" t="s">
        <v>173</v>
      </c>
      <c r="C65" s="13" t="str">
        <f>Снип_таблица[[#This Row],[Шифр норматива]]&amp;" "&amp;Снип_таблица[[#This Row],[Описание]]</f>
        <v>СП 116.13330.2012 Инженерная защита территорий, зданий и сооружений от опасных геологических процессов. Основные положения</v>
      </c>
    </row>
    <row r="66" spans="1:3" x14ac:dyDescent="0.2">
      <c r="A66" s="13" t="s">
        <v>174</v>
      </c>
      <c r="B66" s="13" t="s">
        <v>175</v>
      </c>
      <c r="C66" s="13" t="str">
        <f>Снип_таблица[[#This Row],[Шифр норматива]]&amp;" "&amp;Снип_таблица[[#This Row],[Описание]]</f>
        <v>СП 118.13330.2012 Общественные здания и сооружения</v>
      </c>
    </row>
    <row r="67" spans="1:3" x14ac:dyDescent="0.2">
      <c r="A67" s="13" t="s">
        <v>176</v>
      </c>
      <c r="B67" s="13" t="s">
        <v>177</v>
      </c>
      <c r="C67" s="13" t="str">
        <f>Снип_таблица[[#This Row],[Шифр норматива]]&amp;" "&amp;Снип_таблица[[#This Row],[Описание]]</f>
        <v>СП 119.13330.2012 Железные дороги колеи 1520 мм</v>
      </c>
    </row>
    <row r="68" spans="1:3" x14ac:dyDescent="0.2">
      <c r="A68" s="13" t="s">
        <v>178</v>
      </c>
      <c r="B68" s="13" t="s">
        <v>179</v>
      </c>
      <c r="C68" s="13" t="str">
        <f>Снип_таблица[[#This Row],[Шифр норматива]]&amp;" "&amp;Снип_таблица[[#This Row],[Описание]]</f>
        <v>СП 120.13330.2012 Метрополитены</v>
      </c>
    </row>
    <row r="69" spans="1:3" x14ac:dyDescent="0.2">
      <c r="A69" s="13" t="s">
        <v>180</v>
      </c>
      <c r="B69" s="13" t="s">
        <v>181</v>
      </c>
      <c r="C69" s="13" t="str">
        <f>Снип_таблица[[#This Row],[Шифр норматива]]&amp;" "&amp;Снип_таблица[[#This Row],[Описание]]</f>
        <v>СП 121.13330.2012 Аэродромы</v>
      </c>
    </row>
    <row r="70" spans="1:3" x14ac:dyDescent="0.2">
      <c r="A70" s="13" t="s">
        <v>182</v>
      </c>
      <c r="B70" s="13" t="s">
        <v>183</v>
      </c>
      <c r="C70" s="13" t="str">
        <f>Снип_таблица[[#This Row],[Шифр норматива]]&amp;" "&amp;Снип_таблица[[#This Row],[Описание]]</f>
        <v>СП 122.13330.2012 Тоннели железнодорожные и автодорожные</v>
      </c>
    </row>
    <row r="71" spans="1:3" x14ac:dyDescent="0.2">
      <c r="A71" s="13" t="s">
        <v>184</v>
      </c>
      <c r="B71" s="13" t="s">
        <v>185</v>
      </c>
      <c r="C71" s="13" t="str">
        <f>Снип_таблица[[#This Row],[Шифр норматива]]&amp;" "&amp;Снип_таблица[[#This Row],[Описание]]</f>
        <v>СП 123.13330.2012 Подземные хранилища газа</v>
      </c>
    </row>
    <row r="72" spans="1:3" x14ac:dyDescent="0.2">
      <c r="A72" s="13" t="s">
        <v>186</v>
      </c>
      <c r="B72" s="13" t="s">
        <v>187</v>
      </c>
      <c r="C72" s="13" t="str">
        <f>Снип_таблица[[#This Row],[Шифр норматива]]&amp;" "&amp;Снип_таблица[[#This Row],[Описание]]</f>
        <v>СП 124.13330.2012 Тепловые сети</v>
      </c>
    </row>
    <row r="73" spans="1:3" x14ac:dyDescent="0.2">
      <c r="A73" s="13" t="s">
        <v>188</v>
      </c>
      <c r="B73" s="13" t="s">
        <v>189</v>
      </c>
      <c r="C73" s="13" t="str">
        <f>Снип_таблица[[#This Row],[Шифр норматива]]&amp;" "&amp;Снип_таблица[[#This Row],[Описание]]</f>
        <v>СП 125.13330.2012 Нефтепродуктопроводы, прокладываемые на территории городов и других населенных пунктов</v>
      </c>
    </row>
    <row r="74" spans="1:3" x14ac:dyDescent="0.2">
      <c r="A74" s="13" t="s">
        <v>190</v>
      </c>
      <c r="B74" s="13" t="s">
        <v>191</v>
      </c>
      <c r="C74" s="13" t="str">
        <f>Снип_таблица[[#This Row],[Шифр норматива]]&amp;" "&amp;Снип_таблица[[#This Row],[Описание]]</f>
        <v>СП 126.13330.2012 Геодезические работы в строительстве</v>
      </c>
    </row>
    <row r="75" spans="1:3" x14ac:dyDescent="0.2">
      <c r="A75" s="13" t="s">
        <v>192</v>
      </c>
      <c r="B75" s="13" t="s">
        <v>193</v>
      </c>
      <c r="C75" s="13" t="str">
        <f>Снип_таблица[[#This Row],[Шифр норматива]]&amp;" "&amp;Снип_таблица[[#This Row],[Описание]]</f>
        <v>СП 128.13330.2012 Алюминиевые конструкции</v>
      </c>
    </row>
    <row r="76" spans="1:3" x14ac:dyDescent="0.2">
      <c r="A76" s="13" t="s">
        <v>194</v>
      </c>
      <c r="B76" s="13" t="s">
        <v>195</v>
      </c>
      <c r="C76" s="13" t="str">
        <f>Снип_таблица[[#This Row],[Шифр норматива]]&amp;" "&amp;Снип_таблица[[#This Row],[Описание]]</f>
        <v>СП 131.13330.2012 Строительная климатология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6</vt:i4>
      </vt:variant>
      <vt:variant>
        <vt:lpstr>Именованные диапазоны</vt:lpstr>
      </vt:variant>
      <vt:variant>
        <vt:i4>77</vt:i4>
      </vt:variant>
    </vt:vector>
  </HeadingPairs>
  <TitlesOfParts>
    <vt:vector size="83" baseType="lpstr">
      <vt:lpstr>Реквизиты для АОСР</vt:lpstr>
      <vt:lpstr>Реестр</vt:lpstr>
      <vt:lpstr>АОСР</vt:lpstr>
      <vt:lpstr>Материалы</vt:lpstr>
      <vt:lpstr>Справочник</vt:lpstr>
      <vt:lpstr>СНиП</vt:lpstr>
      <vt:lpstr>_№ппАОСР</vt:lpstr>
      <vt:lpstr>_виддокументсправочник</vt:lpstr>
      <vt:lpstr>_видработАОСР</vt:lpstr>
      <vt:lpstr>_всоответствии_реквизиты</vt:lpstr>
      <vt:lpstr>_датаактаАОСР</vt:lpstr>
      <vt:lpstr>_датаначалаАОСР</vt:lpstr>
      <vt:lpstr>_датаокончанияАОСР</vt:lpstr>
      <vt:lpstr>_ед.измерАОСР</vt:lpstr>
      <vt:lpstr>_заказчик_с1реквизиты</vt:lpstr>
      <vt:lpstr>_заказчик_с2реквизиты</vt:lpstr>
      <vt:lpstr>_заказчик_с3реквизиты</vt:lpstr>
      <vt:lpstr>_заказчик_с4реквизиты</vt:lpstr>
      <vt:lpstr>_заключенияАОСР</vt:lpstr>
      <vt:lpstr>_застройщик_с1реквизиты</vt:lpstr>
      <vt:lpstr>_застройщик_с2реквизиты</vt:lpstr>
      <vt:lpstr>_застройщик_с3реквизиты</vt:lpstr>
      <vt:lpstr>_застройщик_с4реквизиты</vt:lpstr>
      <vt:lpstr>_интервалАОСР</vt:lpstr>
      <vt:lpstr>_иные_реквизиты</vt:lpstr>
      <vt:lpstr>_количествоАОСР</vt:lpstr>
      <vt:lpstr>_колодецАОСР</vt:lpstr>
      <vt:lpstr>_компания_реквизиты</vt:lpstr>
      <vt:lpstr>_материалыАОСР</vt:lpstr>
      <vt:lpstr>_материалысправочник</vt:lpstr>
      <vt:lpstr>_образецАОСР</vt:lpstr>
      <vt:lpstr>_объект_с1Реквизиты</vt:lpstr>
      <vt:lpstr>_объект_с2Реквизиты</vt:lpstr>
      <vt:lpstr>_объект_с3Реквизиты</vt:lpstr>
      <vt:lpstr>_п_выполн_с1реквизиты</vt:lpstr>
      <vt:lpstr>_п_выполн_с2реквизиты</vt:lpstr>
      <vt:lpstr>_п_выполн_с3реквизиты</vt:lpstr>
      <vt:lpstr>_п_выполн_с4реквизиты</vt:lpstr>
      <vt:lpstr>_п_заказчика_с1реквизиты</vt:lpstr>
      <vt:lpstr>_п_заказчика_с2реквизиты</vt:lpstr>
      <vt:lpstr>_п_заказчика_с3реквизиты</vt:lpstr>
      <vt:lpstr>_п_заказчика_с4реквизиты</vt:lpstr>
      <vt:lpstr>_п_проектировщика_с1реквизиты</vt:lpstr>
      <vt:lpstr>_п_проектировщика_с2реквизиты</vt:lpstr>
      <vt:lpstr>_п_проектировщика_с3реквизиты</vt:lpstr>
      <vt:lpstr>_п_проектировщика_с4реквизиты</vt:lpstr>
      <vt:lpstr>_п_скстроителя_с1реквизиты</vt:lpstr>
      <vt:lpstr>_п_скстроителя_с2реквизиты</vt:lpstr>
      <vt:lpstr>_п_скстроителя_с3реквизиты</vt:lpstr>
      <vt:lpstr>_п_скстроителя_с4реквизиты</vt:lpstr>
      <vt:lpstr>_подписьвыполнившего_реквизиты</vt:lpstr>
      <vt:lpstr>_подписьзаказчика_реквизиты</vt:lpstr>
      <vt:lpstr>_подписьиные_реквизиты</vt:lpstr>
      <vt:lpstr>_подписьпроектировщика_реквизиты</vt:lpstr>
      <vt:lpstr>_подписьскстроителя_реквизиты</vt:lpstr>
      <vt:lpstr>_подписьстроителя_реквизиты</vt:lpstr>
      <vt:lpstr>_последующиеАОСР</vt:lpstr>
      <vt:lpstr>_проект_реквизиты</vt:lpstr>
      <vt:lpstr>_проектировщик_с1реквизиты</vt:lpstr>
      <vt:lpstr>_проектировщик_с2реквизиты</vt:lpstr>
      <vt:lpstr>_проектировщик_с3реквизиты</vt:lpstr>
      <vt:lpstr>_протоколы28АОСР</vt:lpstr>
      <vt:lpstr>_протоколыАОСР</vt:lpstr>
      <vt:lpstr>_СНИП_справочник</vt:lpstr>
      <vt:lpstr>_строитель_с1реквизиты</vt:lpstr>
      <vt:lpstr>_строитель_с2реквизиты</vt:lpstr>
      <vt:lpstr>_строитель_с3реквизиты</vt:lpstr>
      <vt:lpstr>_строитель_с4реквизиты</vt:lpstr>
      <vt:lpstr>_сформироватьАОСР</vt:lpstr>
      <vt:lpstr>_чертежиАОСР</vt:lpstr>
      <vt:lpstr>имя1</vt:lpstr>
      <vt:lpstr>п_строителя_с1реквизиты</vt:lpstr>
      <vt:lpstr>п_строителя_с2реквизиты</vt:lpstr>
      <vt:lpstr>п_строителя_с3реквизиты</vt:lpstr>
      <vt:lpstr>п_строителя_с4реквизиты</vt:lpstr>
      <vt:lpstr>работа_полная</vt:lpstr>
      <vt:lpstr>снипы</vt:lpstr>
      <vt:lpstr>СП1</vt:lpstr>
      <vt:lpstr>СП2</vt:lpstr>
      <vt:lpstr>СП3</vt:lpstr>
      <vt:lpstr>СП4</vt:lpstr>
      <vt:lpstr>СП5</vt:lpstr>
      <vt:lpstr>сформировать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2026-05-14T06:25:21Z</dcterms:modified>
</cp:coreProperties>
</file>